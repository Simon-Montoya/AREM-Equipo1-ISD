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rechas" sheetId="2" state="visible" r:id="rId4"/>
    <sheet name="Ideas_Mejoras" sheetId="3" state="visible" r:id="rId5"/>
    <sheet name="Decision_Intake" sheetId="4" state="visible" r:id="rId6"/>
    <sheet name="Decision_Validacion" sheetId="5" state="visible" r:id="rId7"/>
    <sheet name="Gap_Resumen" sheetId="6" state="visible" r:id="rId8"/>
    <sheet name="Fu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<sst xmlns="http://schemas.openxmlformats.org/spreadsheetml/2006/main" count="518" uniqueCount="397">
  <si>
    <t xml:space="preserve">Taller 7 - Opportunities &amp; Solutions | ISD Colombia</t>
  </si>
  <si>
    <t xml:space="preserve">Propósito</t>
  </si>
  <si>
    <t xml:space="preserve">Consolidar el diagnóstico AS-IS y preparar la priorización de soluciones que cierran las brechas de ISD Colombia.</t>
  </si>
  <si>
    <t xml:space="preserve">Alcance actual</t>
  </si>
  <si>
    <t xml:space="preserve">Procesos 01 y 02: búsqueda/selección de equipos y gestión de solicitudes/cotización.</t>
  </si>
  <si>
    <t xml:space="preserve">Trazabilidad</t>
  </si>
  <si>
    <t xml:space="preserve">B14 (Taller 4), B15 (Taller 3), B16 y B17 (Taller 4) incorporan la evidencia de los Talleres 3 y 4 (repositorio AREM-Equipo1-ISD). B13 (Taller 6) permanece pendiente de incorporar en esta matriz.</t>
  </si>
  <si>
    <t xml:space="preserve">Decisiones</t>
  </si>
  <si>
    <t xml:space="preserve">Se incluyen matrices ponderadas para el canal de gestión comercial y para el motor de búsqueda/validación; pesos preliminares, a validar con la Gerencia.</t>
  </si>
  <si>
    <t xml:space="preserve">Escala</t>
  </si>
  <si>
    <t xml:space="preserve">El puntaje preliminar orienta la priorización; la decisión formal se apoya en las matrices ponderadas y en las restricciones reales del cliente.</t>
  </si>
  <si>
    <t xml:space="preserve">Matriz consolidada de brechas - ISD Colombia</t>
  </si>
  <si>
    <t xml:space="preserve">ID</t>
  </si>
  <si>
    <t xml:space="preserve">Origen / trazabilidad</t>
  </si>
  <si>
    <t xml:space="preserve">Capacidad</t>
  </si>
  <si>
    <t xml:space="preserve">Situación AS-IS</t>
  </si>
  <si>
    <t xml:space="preserve">Brecha / necesidad</t>
  </si>
  <si>
    <t xml:space="preserve">Tipo</t>
  </si>
  <si>
    <t xml:space="preserve">Evidencia / implicación</t>
  </si>
  <si>
    <t xml:space="preserve">Impacto</t>
  </si>
  <si>
    <t xml:space="preserve">Alineación</t>
  </si>
  <si>
    <t xml:space="preserve">Seguridad</t>
  </si>
  <si>
    <t xml:space="preserve">Urgencia</t>
  </si>
  <si>
    <t xml:space="preserve">Puntaje preliminar</t>
  </si>
  <si>
    <t xml:space="preserve">Prioridad</t>
  </si>
  <si>
    <t xml:space="preserve">Cierre propuesto</t>
  </si>
  <si>
    <t xml:space="preserve">Beneficio esperado</t>
  </si>
  <si>
    <t xml:space="preserve">Riesgo de implementación</t>
  </si>
  <si>
    <t xml:space="preserve">Responsable</t>
  </si>
  <si>
    <t xml:space="preserve">Estado</t>
  </si>
  <si>
    <t xml:space="preserve">Criterio</t>
  </si>
  <si>
    <t xml:space="preserve">Peso</t>
  </si>
  <si>
    <t xml:space="preserve">B01</t>
  </si>
  <si>
    <t xml:space="preserve">Caracterización / P01</t>
  </si>
  <si>
    <t xml:space="preserve">Búsqueda y selección de equipos</t>
  </si>
  <si>
    <t xml:space="preserve">La búsqueda se realiza manualmente entre 3-4 proveedores y fuentes de Internet.</t>
  </si>
  <si>
    <t xml:space="preserve">Búsqueda y selección asistida</t>
  </si>
  <si>
    <t xml:space="preserve">Proceso / Aplicaciones</t>
  </si>
  <si>
    <t xml:space="preserve">La actividad consume tiempo y puede omitir alternativas válidas.</t>
  </si>
  <si>
    <t xml:space="preserve">Alta</t>
  </si>
  <si>
    <t xml:space="preserve">Motor de búsqueda y validación de especificaciones</t>
  </si>
  <si>
    <t xml:space="preserve">Reduce tiempo y mejora cobertura.</t>
  </si>
  <si>
    <t xml:space="preserve">Complejidad inicial / calidad de fuentes</t>
  </si>
  <si>
    <t xml:space="preserve">Analista de compras / TI</t>
  </si>
  <si>
    <t xml:space="preserve">Confirmada</t>
  </si>
  <si>
    <t xml:space="preserve">20%</t>
  </si>
  <si>
    <t xml:space="preserve">B02</t>
  </si>
  <si>
    <t xml:space="preserve">Validación de especificaciones</t>
  </si>
  <si>
    <t xml:space="preserve">El cumplimiento del 100% de la especificación requiere revisión humana.</t>
  </si>
  <si>
    <t xml:space="preserve">Validación automática asistida</t>
  </si>
  <si>
    <t xml:space="preserve">Aplicaciones / Proceso</t>
  </si>
  <si>
    <t xml:space="preserve">Una omisión puede excluir una oferta del proceso de contratación.</t>
  </si>
  <si>
    <t xml:space="preserve">Reglas + búsqueda semántica + revisión humana</t>
  </si>
  <si>
    <t xml:space="preserve">Menor riesgo de omisiones; evidencia de criterios.</t>
  </si>
  <si>
    <t xml:space="preserve">Falsos positivos/negativos</t>
  </si>
  <si>
    <t xml:space="preserve">Analista de compras</t>
  </si>
  <si>
    <t xml:space="preserve">40%</t>
  </si>
  <si>
    <t xml:space="preserve">B03</t>
  </si>
  <si>
    <t xml:space="preserve">Caracterización / P02</t>
  </si>
  <si>
    <t xml:space="preserve">Recepción de solicitudes</t>
  </si>
  <si>
    <t xml:space="preserve">Las solicitudes llegan por WhatsApp, redes sociales y mensajería sin estructura uniforme.</t>
  </si>
  <si>
    <t xml:space="preserve">Recepción estructurada</t>
  </si>
  <si>
    <t xml:space="preserve">Aplicaciones</t>
  </si>
  <si>
    <t xml:space="preserve">La información llega dispersa y requiere reconstrucción manual.</t>
  </si>
  <si>
    <t xml:space="preserve">Portal/formulario de solicitudes</t>
  </si>
  <si>
    <t xml:space="preserve">Datos completos desde el origen y mejor trazabilidad.</t>
  </si>
  <si>
    <t xml:space="preserve">Adopción del canal</t>
  </si>
  <si>
    <t xml:space="preserve">Comercial / TI</t>
  </si>
  <si>
    <t xml:space="preserve">B04</t>
  </si>
  <si>
    <t xml:space="preserve">Gestión de clientes</t>
  </si>
  <si>
    <t xml:space="preserve">No existe CRM ni plataforma formal de centralización.</t>
  </si>
  <si>
    <t xml:space="preserve">Gestión centralizada</t>
  </si>
  <si>
    <t xml:space="preserve">Información distribuida entre canales y personas.</t>
  </si>
  <si>
    <t xml:space="preserve">Plataforma de gestión comercial ligera</t>
  </si>
  <si>
    <t xml:space="preserve">Historial único de clientes y solicitudes.</t>
  </si>
  <si>
    <t xml:space="preserve">Costo / configuración</t>
  </si>
  <si>
    <t xml:space="preserve">Gerencia / TI</t>
  </si>
  <si>
    <t xml:space="preserve">B05</t>
  </si>
  <si>
    <t xml:space="preserve">Proceso 02 / diagrama</t>
  </si>
  <si>
    <t xml:space="preserve">Estructuración de solicitudes</t>
  </si>
  <si>
    <t xml:space="preserve">El asesor debe centralizar y estructurar manualmente la información recibida.</t>
  </si>
  <si>
    <t xml:space="preserve">Orquestación de solicitudes</t>
  </si>
  <si>
    <t xml:space="preserve">Reprocesos, variabilidad y dependencia del criterio del empleado.</t>
  </si>
  <si>
    <t xml:space="preserve">Flujo de trabajo con campos obligatorios, estados y validaciones</t>
  </si>
  <si>
    <t xml:space="preserve">Menor reproceso y mayor consistencia.</t>
  </si>
  <si>
    <t xml:space="preserve">Diseño de formularios / flujo</t>
  </si>
  <si>
    <t xml:space="preserve">B06</t>
  </si>
  <si>
    <t xml:space="preserve">Elaboración de cotizaciones</t>
  </si>
  <si>
    <t xml:space="preserve">La cotización se elabora de forma manual.</t>
  </si>
  <si>
    <t xml:space="preserve">Generación asistida de cotizaciones</t>
  </si>
  <si>
    <t xml:space="preserve">Tiempo de respuesta depende del trabajo manual.</t>
  </si>
  <si>
    <t xml:space="preserve">Media-Alta</t>
  </si>
  <si>
    <t xml:space="preserve">Generador de cotizaciones con plantillas y reglas</t>
  </si>
  <si>
    <t xml:space="preserve">Reducción del tiempo y consistencia documental.</t>
  </si>
  <si>
    <t xml:space="preserve">Errores de automatización</t>
  </si>
  <si>
    <t xml:space="preserve">B07</t>
  </si>
  <si>
    <t xml:space="preserve">Taller 5 STRIDE</t>
  </si>
  <si>
    <t xml:space="preserve">No se evidenció una plataforma central con historial/auditoría formal en el estado actual documentado.</t>
  </si>
  <si>
    <t xml:space="preserve">Auditoría de operaciones</t>
  </si>
  <si>
    <t xml:space="preserve">Seguridad / Aplicaciones</t>
  </si>
  <si>
    <t xml:space="preserve">Dificultad para demostrar quién recibió, creó o modificó información.</t>
  </si>
  <si>
    <t xml:space="preserve">Logs de auditoría, versionado y sello de tiempo</t>
  </si>
  <si>
    <t xml:space="preserve">Responsabilidad y capacidad de investigación.</t>
  </si>
  <si>
    <t xml:space="preserve">Volumen de logs</t>
  </si>
  <si>
    <t xml:space="preserve">TI / Seguridad</t>
  </si>
  <si>
    <t xml:space="preserve">Riesgo identificado</t>
  </si>
  <si>
    <t xml:space="preserve">B08</t>
  </si>
  <si>
    <t xml:space="preserve">Identidad</t>
  </si>
  <si>
    <t xml:space="preserve">El flujo actual no documenta autenticación centralizada para una plataforma formal.</t>
  </si>
  <si>
    <t xml:space="preserve">Identidad y acceso</t>
  </si>
  <si>
    <t xml:space="preserve">Riesgo de suplantación al formalizar el canal digital.</t>
  </si>
  <si>
    <t xml:space="preserve">Autenticación fuerte, MFA para personal y recuperación segura</t>
  </si>
  <si>
    <t xml:space="preserve">Reduce suplantación y accesos indebidos.</t>
  </si>
  <si>
    <t xml:space="preserve">Fricción de acceso</t>
  </si>
  <si>
    <t xml:space="preserve">B09</t>
  </si>
  <si>
    <t xml:space="preserve">Integridad de información</t>
  </si>
  <si>
    <t xml:space="preserve">El flujo manual puede permitir cambios no trazados en requerimientos o cotizaciones.</t>
  </si>
  <si>
    <t xml:space="preserve">Integridad de datos</t>
  </si>
  <si>
    <t xml:space="preserve">Riesgo de enviar una cotización basada en datos alterados.</t>
  </si>
  <si>
    <t xml:space="preserve">Validación de entrada, control de cambios, versionado y TLS</t>
  </si>
  <si>
    <t xml:space="preserve">Protege exactitud y origen de información.</t>
  </si>
  <si>
    <t xml:space="preserve">Diseño de versionado</t>
  </si>
  <si>
    <t xml:space="preserve">B10</t>
  </si>
  <si>
    <t xml:space="preserve">Protección de información</t>
  </si>
  <si>
    <t xml:space="preserve">La información comercial está distribuida entre canales y medios de trabajo no centralizados.</t>
  </si>
  <si>
    <t xml:space="preserve">Protección de datos</t>
  </si>
  <si>
    <t xml:space="preserve">Riesgo de divulgación a personas sin necesidad de acceso.</t>
  </si>
  <si>
    <t xml:space="preserve">RBAC, cifrado, mínimo privilegio y repositorio controlado</t>
  </si>
  <si>
    <t xml:space="preserve">Confidencialidad y gobierno de la información.</t>
  </si>
  <si>
    <t xml:space="preserve">Configuración incorrecta de permisos</t>
  </si>
  <si>
    <t xml:space="preserve">B11</t>
  </si>
  <si>
    <t xml:space="preserve">Privilegios</t>
  </si>
  <si>
    <t xml:space="preserve">No está documentado un modelo RBAC del futuro sistema.</t>
  </si>
  <si>
    <t xml:space="preserve">Gestión de privilegios</t>
  </si>
  <si>
    <t xml:space="preserve">Riesgo de acceso excesivo.</t>
  </si>
  <si>
    <t xml:space="preserve">RBAC por rol y revisión periódica de permisos</t>
  </si>
  <si>
    <t xml:space="preserve">Mínimo privilegio y separación de funciones.</t>
  </si>
  <si>
    <t xml:space="preserve">Administración de roles</t>
  </si>
  <si>
    <t xml:space="preserve">Pendiente de validación</t>
  </si>
  <si>
    <t xml:space="preserve">B12</t>
  </si>
  <si>
    <t xml:space="preserve">Disponibilidad</t>
  </si>
  <si>
    <t xml:space="preserve">No existe todavía un canal central formal sobre el cual evaluar controles de disponibilidad.</t>
  </si>
  <si>
    <t xml:space="preserve">Continuidad y disponibilidad</t>
  </si>
  <si>
    <t xml:space="preserve">Seguridad / Tecnología</t>
  </si>
  <si>
    <t xml:space="preserve">Una futura plataforma podría convertirse en punto único de dependencia.</t>
  </si>
  <si>
    <t xml:space="preserve">Media</t>
  </si>
  <si>
    <t xml:space="preserve">Backups, monitoreo, alertamiento y recuperación documentada</t>
  </si>
  <si>
    <t xml:space="preserve">Reduce interrupciones operativas.</t>
  </si>
  <si>
    <t xml:space="preserve">Costo operativo</t>
  </si>
  <si>
    <t xml:space="preserve">TI</t>
  </si>
  <si>
    <t xml:space="preserve">B14</t>
  </si>
  <si>
    <t xml:space="preserve">Taller 4 - Diagnóstico</t>
  </si>
  <si>
    <t xml:space="preserve">Continuidad de información</t>
  </si>
  <si>
    <t xml:space="preserve">La hoja de cálculo compartida es una instancia única, sin backup ni control de versiones; ISD no administra infraestructura propia.</t>
  </si>
  <si>
    <t xml:space="preserve">Respaldo y versionado del registro de solicitudes/cotizaciones</t>
  </si>
  <si>
    <t xml:space="preserve">Tecnología / Aplicaciones</t>
  </si>
  <si>
    <t xml:space="preserve">Riesgo de Alta prioridad en el Taller 4: pérdida del historial de cotizaciones y solicitudes.</t>
  </si>
  <si>
    <t xml:space="preserve">Repositorio central con versionado + backups y recuperación probada (M05, M07)</t>
  </si>
  <si>
    <t xml:space="preserve">Evita pérdida de historial y permite recuperar versiones.</t>
  </si>
  <si>
    <t xml:space="preserve">Costo operativo / migración del registro actual</t>
  </si>
  <si>
    <t xml:space="preserve">TI / Comercial</t>
  </si>
  <si>
    <t xml:space="preserve">B15</t>
  </si>
  <si>
    <t xml:space="preserve">Taller 3 - C2 (arquitectura actual)</t>
  </si>
  <si>
    <t xml:space="preserve">Integración de canales</t>
  </si>
  <si>
    <t xml:space="preserve">WhatsApp, correo y teléfono operan como canales independientes sin integración automática; el asesor transcribe a mano a la hoja de cálculo compartida.</t>
  </si>
  <si>
    <t xml:space="preserve">Canales integrados y registro único de seguimiento</t>
  </si>
  <si>
    <t xml:space="preserve">El C2 muestra que la hoja de cálculo es el único punto de consolidación. El Taller 4 clasificó la dispersión en 3 canales como riesgo de prioridad Media (refuerza B03/B04).</t>
  </si>
  <si>
    <t xml:space="preserve">Portal/formulario + plataforma de gestión comercial + integraciones (M01, M02, M08)</t>
  </si>
  <si>
    <t xml:space="preserve">Elimina la transcripción manual y unifica el seguimiento.</t>
  </si>
  <si>
    <t xml:space="preserve">Adopción del canal / calidad de integraciones</t>
  </si>
  <si>
    <t xml:space="preserve">B16</t>
  </si>
  <si>
    <t xml:space="preserve">Continuidad operativa y escalabilidad</t>
  </si>
  <si>
    <t xml:space="preserve">Todo el proceso depende de una sola persona (asesor comercial) y su dispositivo.</t>
  </si>
  <si>
    <t xml:space="preserve">Reducir la dependencia de una sola persona</t>
  </si>
  <si>
    <t xml:space="preserve">Riesgo de Alta prioridad en el Taller 4: cuello de botella si crece la demanda o la persona no está disponible.</t>
  </si>
  <si>
    <t xml:space="preserve">Plataforma con responsables, estados e historial compartido + flujo documentado (M01, M02)</t>
  </si>
  <si>
    <t xml:space="preserve">Cualquier integrante puede retomar una solicitud; el proceso escala.</t>
  </si>
  <si>
    <t xml:space="preserve">Adopción / cambio en la forma de trabajo</t>
  </si>
  <si>
    <t xml:space="preserve">Gerencia / Comercial</t>
  </si>
  <si>
    <t xml:space="preserve">B17</t>
  </si>
  <si>
    <t xml:space="preserve">Dependencia de proveedores SaaS</t>
  </si>
  <si>
    <t xml:space="preserve">WhatsApp Business y correo dependen de terceros (Meta, Google/Microsoft), fuera del control directo de ISD.</t>
  </si>
  <si>
    <t xml:space="preserve">Gestionar la dependencia de proveedores externos</t>
  </si>
  <si>
    <t xml:space="preserve">Tecnología</t>
  </si>
  <si>
    <t xml:space="preserve">Riesgo de prioridad Baja en el Taller 4: los proveedores ofrecen SLA robusto.</t>
  </si>
  <si>
    <t xml:space="preserve">Baja</t>
  </si>
  <si>
    <t xml:space="preserve">Exportación y respaldo de datos; contratos y documentación de interfaces (M07)</t>
  </si>
  <si>
    <t xml:space="preserve">Reduce el impacto de una indisponibilidad o cambio de proveedor.</t>
  </si>
  <si>
    <t xml:space="preserve">Costo / dependencia de proveedor</t>
  </si>
  <si>
    <t xml:space="preserve">Lluvia de ideas de mejoras y priorización preliminar</t>
  </si>
  <si>
    <t xml:space="preserve">Mejora</t>
  </si>
  <si>
    <t xml:space="preserve">Dominio</t>
  </si>
  <si>
    <t xml:space="preserve">Brechas que cierra</t>
  </si>
  <si>
    <t xml:space="preserve">Horizonte</t>
  </si>
  <si>
    <t xml:space="preserve">Descripción</t>
  </si>
  <si>
    <t xml:space="preserve">Controles de seguridad</t>
  </si>
  <si>
    <t xml:space="preserve">Beneficio</t>
  </si>
  <si>
    <t xml:space="preserve">Prioridad preliminar</t>
  </si>
  <si>
    <t xml:space="preserve">¿Paquete prioritario?</t>
  </si>
  <si>
    <t xml:space="preserve">M01</t>
  </si>
  <si>
    <t xml:space="preserve">Portal/formulario formal de solicitudes</t>
  </si>
  <si>
    <t xml:space="preserve">B03, B04, B05, B15, B16</t>
  </si>
  <si>
    <t xml:space="preserve">Quick win / Fase 1</t>
  </si>
  <si>
    <t xml:space="preserve">Canal digital con campos obligatorios, adjuntos, estados y confirmación de recepción.</t>
  </si>
  <si>
    <t xml:space="preserve">Validación de entrada, TLS, anti-spam/rate limit, trazabilidad.</t>
  </si>
  <si>
    <t xml:space="preserve">Centraliza información desde el origen.</t>
  </si>
  <si>
    <t xml:space="preserve">Sí</t>
  </si>
  <si>
    <t xml:space="preserve">M02</t>
  </si>
  <si>
    <t xml:space="preserve">Plataforma ligera de gestión comercial/CRM</t>
  </si>
  <si>
    <t xml:space="preserve">B03, B04, B05, B07, B08, B10, B11, B15, B16</t>
  </si>
  <si>
    <t xml:space="preserve">Fase 1-2</t>
  </si>
  <si>
    <t xml:space="preserve">Registro único de clientes, solicitudes, responsables, estados e historial.</t>
  </si>
  <si>
    <t xml:space="preserve">RBAC, MFA, auditoría, mínimo privilegio.</t>
  </si>
  <si>
    <t xml:space="preserve">Historial único y control del flujo comercial.</t>
  </si>
  <si>
    <t xml:space="preserve">Costo/configuración</t>
  </si>
  <si>
    <t xml:space="preserve">M03</t>
  </si>
  <si>
    <t xml:space="preserve">Motor de búsqueda y validación técnica</t>
  </si>
  <si>
    <t xml:space="preserve">Aplicaciones / Datos</t>
  </si>
  <si>
    <t xml:space="preserve">B01, B02, B09</t>
  </si>
  <si>
    <t xml:space="preserve">Fase 2</t>
  </si>
  <si>
    <t xml:space="preserve">Combina reglas determinísticas con búsqueda semántica sobre fichas técnicas y fuentes de proveedores; mantiene revisión humana.</t>
  </si>
  <si>
    <t xml:space="preserve">Registro de fuentes, validación de entradas, trazabilidad de decisiones.</t>
  </si>
  <si>
    <t xml:space="preserve">Reduce tiempo de búsqueda y omisiones.</t>
  </si>
  <si>
    <t xml:space="preserve">Calidad de fuentes / falsos resultados</t>
  </si>
  <si>
    <t xml:space="preserve">M04</t>
  </si>
  <si>
    <t xml:space="preserve">Generador asistido de cotizaciones</t>
  </si>
  <si>
    <t xml:space="preserve">B06, B07, B09</t>
  </si>
  <si>
    <t xml:space="preserve">Fase 2-3</t>
  </si>
  <si>
    <t xml:space="preserve">Genera borradores a partir de solicitudes y resultados validados; aprobación humana antes de enviar.</t>
  </si>
  <si>
    <t xml:space="preserve">RBAC, versionado, firma/confirmación y auditoría.</t>
  </si>
  <si>
    <t xml:space="preserve">Menor tiempo de respuesta y consistencia.</t>
  </si>
  <si>
    <t xml:space="preserve">Automatización incorrecta</t>
  </si>
  <si>
    <t xml:space="preserve">M05</t>
  </si>
  <si>
    <t xml:space="preserve">Repositorio central de documentos</t>
  </si>
  <si>
    <t xml:space="preserve">Datos / Tecnología</t>
  </si>
  <si>
    <t xml:space="preserve">B06, B07, B10, B13, B14</t>
  </si>
  <si>
    <t xml:space="preserve">Almacén controlado para fichas, cotizaciones y anexos con metadatos y retención definida.</t>
  </si>
  <si>
    <t xml:space="preserve">Cifrado, permisos, versionado, respaldo y retención según Taller 6.</t>
  </si>
  <si>
    <t xml:space="preserve">Reduce dispersión y mejora disponibilidad.</t>
  </si>
  <si>
    <t xml:space="preserve">Migración / permisos</t>
  </si>
  <si>
    <t xml:space="preserve">M06</t>
  </si>
  <si>
    <t xml:space="preserve">Seguridad por diseño (IAM + MFA + RBAC + auditoría)</t>
  </si>
  <si>
    <t xml:space="preserve">B07, B08, B09, B10, B11</t>
  </si>
  <si>
    <t xml:space="preserve">Transversal - desde Fase 1</t>
  </si>
  <si>
    <t xml:space="preserve">Identidad central, MFA de personal, RBAC, registros de auditoría y gestión de secretos.</t>
  </si>
  <si>
    <t xml:space="preserve">Alineación con NIST ZTA y OWASP ASVS/API Security.</t>
  </si>
  <si>
    <t xml:space="preserve">Controla riesgos de acceso, integridad y trazabilidad.</t>
  </si>
  <si>
    <t xml:space="preserve">Fricción de uso / operación</t>
  </si>
  <si>
    <t xml:space="preserve">Crítica</t>
  </si>
  <si>
    <t xml:space="preserve">M07</t>
  </si>
  <si>
    <t xml:space="preserve">Monitoreo, backup y recuperación</t>
  </si>
  <si>
    <t xml:space="preserve">B12, B10, B14, B17</t>
  </si>
  <si>
    <t xml:space="preserve">Monitoreo de servicios, alertas y copias de seguridad con pruebas periódicas de restauración.</t>
  </si>
  <si>
    <t xml:space="preserve">Logs centralizados, alertamiento, backups cifrados.</t>
  </si>
  <si>
    <t xml:space="preserve">Menor impacto de fallos e incidentes.</t>
  </si>
  <si>
    <t xml:space="preserve">No</t>
  </si>
  <si>
    <t xml:space="preserve">M08</t>
  </si>
  <si>
    <t xml:space="preserve">Capa de integración/API con proveedores y notificaciones</t>
  </si>
  <si>
    <t xml:space="preserve">B01, B03, B06, B15</t>
  </si>
  <si>
    <t xml:space="preserve">Interfaces controladas para fuentes externas, correo/notificaciones y servicios de terceros.</t>
  </si>
  <si>
    <t xml:space="preserve">Autenticación de APIs, inventario de interfaces, rate limits y manejo de secretos.</t>
  </si>
  <si>
    <t xml:space="preserve">Reduce tareas repetitivas y facilita evolución.</t>
  </si>
  <si>
    <t xml:space="preserve">Dependencia de APIs externas</t>
  </si>
  <si>
    <t xml:space="preserve">Matriz de decisión ponderada - Canal de solicitudes y gestión comercial</t>
  </si>
  <si>
    <t xml:space="preserve">Costo total</t>
  </si>
  <si>
    <t xml:space="preserve">Facilidad de adopción</t>
  </si>
  <si>
    <t xml:space="preserve">Seguridad y control</t>
  </si>
  <si>
    <t xml:space="preserve">Velocidad de implementación</t>
  </si>
  <si>
    <t xml:space="preserve">Escalabilidad</t>
  </si>
  <si>
    <t xml:space="preserve">Integración</t>
  </si>
  <si>
    <t xml:space="preserve">Opción</t>
  </si>
  <si>
    <t xml:space="preserve">Puntaje</t>
  </si>
  <si>
    <t xml:space="preserve">A - Portal web a medida</t>
  </si>
  <si>
    <t xml:space="preserve">B - Plataforma low-code</t>
  </si>
  <si>
    <t xml:space="preserve">C - Suite CRM</t>
  </si>
  <si>
    <t xml:space="preserve">Decisión y trade-off</t>
  </si>
  <si>
    <t xml:space="preserve">Decisión preliminar: usar una plataforma low-code como patrón para el canal estructurado y la gestión comercial. Trade-off: menor libertad que un desarrollo 100% a medida, a cambio de menor tiempo de puesta en marcha y menor carga operativa para una organización pequeña. La decisión de producto/proveedor debe validarse con costos y restricciones reales del cliente.</t>
  </si>
  <si>
    <t xml:space="preserve">Escenario</t>
  </si>
  <si>
    <t xml:space="preserve">A</t>
  </si>
  <si>
    <t xml:space="preserve">B</t>
  </si>
  <si>
    <t xml:space="preserve">C</t>
  </si>
  <si>
    <t xml:space="preserve">Interpretación</t>
  </si>
  <si>
    <t xml:space="preserve">Base</t>
  </si>
  <si>
    <t xml:space="preserve">B permanece primero.</t>
  </si>
  <si>
    <t xml:space="preserve">Costo +10 pp</t>
  </si>
  <si>
    <t xml:space="preserve">B conserva una ventaja mínima.</t>
  </si>
  <si>
    <t xml:space="preserve">Adopción +10 pp</t>
  </si>
  <si>
    <t xml:space="preserve">B mantiene la ventaja.</t>
  </si>
  <si>
    <t xml:space="preserve">Seguridad +10 pp</t>
  </si>
  <si>
    <t xml:space="preserve">C se acerca, pero B sigue primero.</t>
  </si>
  <si>
    <t xml:space="preserve">Velocidad +10 pp</t>
  </si>
  <si>
    <t xml:space="preserve">B aumenta su ventaja.</t>
  </si>
  <si>
    <t xml:space="preserve">Matriz de decisión ponderada - Motor de búsqueda y validación técnica</t>
  </si>
  <si>
    <t xml:space="preserve">Ajuste a especificaciones</t>
  </si>
  <si>
    <t xml:space="preserve">Mantenibilidad</t>
  </si>
  <si>
    <t xml:space="preserve">Costo</t>
  </si>
  <si>
    <t xml:space="preserve">Velocidad</t>
  </si>
  <si>
    <t xml:space="preserve">A - Motor híbrido reglas + búsqueda semántica</t>
  </si>
  <si>
    <t xml:space="preserve">B - Producto/API de terceros</t>
  </si>
  <si>
    <t xml:space="preserve">C - Automatización manual asistida</t>
  </si>
  <si>
    <t xml:space="preserve">Decisión preliminar: motor híbrido de reglas determinísticas + búsqueda semántica, con aprobación humana. Trade-off: mayor complejidad que una automatización manual simple, pero mejor ajuste al requisito crítico de comprobar el 100% de la especificación. No se propone una decisión autónoma de envío de cotizaciones.</t>
  </si>
  <si>
    <t xml:space="preserve">A permanece primero.</t>
  </si>
  <si>
    <t xml:space="preserve">Ajuste técnico +10 pp</t>
  </si>
  <si>
    <t xml:space="preserve">A refuerza la ventaja.</t>
  </si>
  <si>
    <t xml:space="preserve">Integración +10 pp</t>
  </si>
  <si>
    <t xml:space="preserve">A continúa primero.</t>
  </si>
  <si>
    <t xml:space="preserve">A se mantiene por margen estrecho.</t>
  </si>
  <si>
    <t xml:space="preserve">Gap Analysis resumido y paquetes de trabajo</t>
  </si>
  <si>
    <t xml:space="preserve">Paquete</t>
  </si>
  <si>
    <t xml:space="preserve">Brechas</t>
  </si>
  <si>
    <t xml:space="preserve">Solución priorizada</t>
  </si>
  <si>
    <t xml:space="preserve">Dependencias</t>
  </si>
  <si>
    <t xml:space="preserve">Riesgos de implementación</t>
  </si>
  <si>
    <t xml:space="preserve">Validación pendiente</t>
  </si>
  <si>
    <t xml:space="preserve">P1 - Gestión comercial digital</t>
  </si>
  <si>
    <t xml:space="preserve">B03,B04,B05,B07,B08,B10,B11,B15,B16</t>
  </si>
  <si>
    <t xml:space="preserve">Canal formal + gestión comercial central + IAM/RBAC/auditoría</t>
  </si>
  <si>
    <t xml:space="preserve">Fase 1</t>
  </si>
  <si>
    <t xml:space="preserve">1</t>
  </si>
  <si>
    <t xml:space="preserve">Centraliza solicitudes, mejora trazabilidad y reduce reproceso.</t>
  </si>
  <si>
    <t xml:space="preserve">Validar restricciones/costos con la Gerencia; el C2 del Taller 3 y los riesgos del Taller 4 ya están incorporados (Taller 6 pendiente).</t>
  </si>
  <si>
    <t xml:space="preserve">Adopción, configuración, permisos, dependencia de plataforma.</t>
  </si>
  <si>
    <t xml:space="preserve">MFA, RBAC, logs, TLS, mínimo privilegio, backups.</t>
  </si>
  <si>
    <t xml:space="preserve">Sí - Taller 6 y costos</t>
  </si>
  <si>
    <t xml:space="preserve">P2 - Búsqueda y validación</t>
  </si>
  <si>
    <t xml:space="preserve">B01,B02,B09</t>
  </si>
  <si>
    <t xml:space="preserve">Motor híbrido de reglas + búsqueda semántica con revisión humana</t>
  </si>
  <si>
    <t xml:space="preserve">2</t>
  </si>
  <si>
    <t xml:space="preserve">Reduce tiempo de investigación y omisiones técnicas.</t>
  </si>
  <si>
    <t xml:space="preserve">Calidad y disponibilidad de fuentes de proveedores.</t>
  </si>
  <si>
    <t xml:space="preserve">Errores de interpretación, calidad de fuentes, mantenimiento.</t>
  </si>
  <si>
    <t xml:space="preserve">Registro de fuentes, cambios, TLS, validación humana.</t>
  </si>
  <si>
    <t xml:space="preserve">Sí - validar fuentes</t>
  </si>
  <si>
    <t xml:space="preserve">P3 - Cotización y documentos</t>
  </si>
  <si>
    <t xml:space="preserve">B06,B07,B09,B10,B13</t>
  </si>
  <si>
    <t xml:space="preserve">Generador asistido + repositorio central</t>
  </si>
  <si>
    <t xml:space="preserve">3</t>
  </si>
  <si>
    <t xml:space="preserve">Acelera cotización y reduce dispersión de documentos.</t>
  </si>
  <si>
    <t xml:space="preserve">Plantillas, permisos, retención del Taller 6.</t>
  </si>
  <si>
    <t xml:space="preserve">Automatización incorrecta, migración, privacidad.</t>
  </si>
  <si>
    <t xml:space="preserve">RBAC, versionado, cifrado, auditoría, retención según Taller 6.</t>
  </si>
  <si>
    <t xml:space="preserve">Sí - Taller 6</t>
  </si>
  <si>
    <t xml:space="preserve">Enabler de continuidad</t>
  </si>
  <si>
    <t xml:space="preserve">B12,B14,B17</t>
  </si>
  <si>
    <t xml:space="preserve">Monitoreo + backups + recuperación probada</t>
  </si>
  <si>
    <t xml:space="preserve">Transversal</t>
  </si>
  <si>
    <t xml:space="preserve">Mayor disponibilidad y recuperación.</t>
  </si>
  <si>
    <t xml:space="preserve">Hosting y operación.</t>
  </si>
  <si>
    <t xml:space="preserve">Costo operativo y configuración.</t>
  </si>
  <si>
    <t xml:space="preserve">Backups cifrados, monitoreo, alertas.</t>
  </si>
  <si>
    <t xml:space="preserve">Sí - validar costos y proveedor</t>
  </si>
  <si>
    <t xml:space="preserve">Fuentes y trazabilidad</t>
  </si>
  <si>
    <t xml:space="preserve">Fuente</t>
  </si>
  <si>
    <t xml:space="preserve">Uso en el taller</t>
  </si>
  <si>
    <t xml:space="preserve">URL</t>
  </si>
  <si>
    <t xml:space="preserve">Ficha de caracterización ISD Colombia</t>
  </si>
  <si>
    <t xml:space="preserve">Fuente primaria del cliente</t>
  </si>
  <si>
    <t xml:space="preserve">AS-IS, problemas, procesos, objetivos y expectativas.</t>
  </si>
  <si>
    <t xml:space="preserve">Archivo entregado por el usuario: Ficha_Caracterizacion_Cliente_ISD_Colombia (1).docx</t>
  </si>
  <si>
    <t xml:space="preserve">Guía Taller 7 - Opportunities &amp; Solutions</t>
  </si>
  <si>
    <t xml:space="preserve">Guía del curso</t>
  </si>
  <si>
    <t xml:space="preserve">Metodología, entregables, rúbrica y estructura.</t>
  </si>
  <si>
    <t xml:space="preserve">https://github.com/CesarAVegaF312/AREM-Taller_7_Opportunities_Solutions</t>
  </si>
  <si>
    <t xml:space="preserve">NIST CSF 2.0</t>
  </si>
  <si>
    <t xml:space="preserve">Marco oficial</t>
  </si>
  <si>
    <t xml:space="preserve">Orientación para gestionar y priorizar riesgos de ciberseguridad.</t>
  </si>
  <si>
    <t xml:space="preserve">https://www.nist.gov/publications/nist-cybersecurity-framework-csf-20</t>
  </si>
  <si>
    <t xml:space="preserve">NIST SP 800-207 Zero Trust Architecture</t>
  </si>
  <si>
    <t xml:space="preserve">Estándar oficial</t>
  </si>
  <si>
    <t xml:space="preserve">Base conceptual para identidad, autenticación y autorización por recurso.</t>
  </si>
  <si>
    <t xml:space="preserve">https://www.nist.gov/publications/zero-trust-architecture</t>
  </si>
  <si>
    <t xml:space="preserve">NIST SP 800-207A</t>
  </si>
  <si>
    <t xml:space="preserve">Guía oficial</t>
  </si>
  <si>
    <t xml:space="preserve">Uso de identidades de usuarios/servicios en aplicaciones cloud-native.</t>
  </si>
  <si>
    <t xml:space="preserve">https://csrc.nist.gov/pubs/sp/800/207/a/final</t>
  </si>
  <si>
    <t xml:space="preserve">OWASP ASVS 5.0.0</t>
  </si>
  <si>
    <t xml:space="preserve">Estándar abierto</t>
  </si>
  <si>
    <t xml:space="preserve">Requisitos para verificación de seguridad de aplicaciones web.</t>
  </si>
  <si>
    <t xml:space="preserve">https://owasp.org/projects/asvs</t>
  </si>
  <si>
    <t xml:space="preserve">OWASP API Security Top 10</t>
  </si>
  <si>
    <t xml:space="preserve">Guía OWASP</t>
  </si>
  <si>
    <t xml:space="preserve">Controles para APIs e integraciones con terceros.</t>
  </si>
  <si>
    <t xml:space="preserve">https://api-security.owasp.org/</t>
  </si>
  <si>
    <t xml:space="preserve">Ley 1581 de 2012 - SIC</t>
  </si>
  <si>
    <t xml:space="preserve">Fuente normativa oficial</t>
  </si>
  <si>
    <t xml:space="preserve">Protección de datos personales; requisito a validar en Taller 6.</t>
  </si>
  <si>
    <t xml:space="preserve">https://sedeelectronica.sic.gov.co/transparencia/normativa/ley-estatutaria-1581-de-2012</t>
  </si>
  <si>
    <t xml:space="preserve">Decreto 1074 de 2015 - Función Pública</t>
  </si>
  <si>
    <t xml:space="preserve">Marco reglamentario del sector comercio; revisar alcance aplicable en Taller 6.</t>
  </si>
  <si>
    <t xml:space="preserve">https://www.funcionpublica.gov.co/eva/gestornormativo/norma.php?i=76608</t>
  </si>
  <si>
    <t xml:space="preserve">Taller 3 - Arquitectura actual (C4), equipo ISD Colombia</t>
  </si>
  <si>
    <t xml:space="preserve">Entregable previo del equipo</t>
  </si>
  <si>
    <t xml:space="preserve">C1/C2 AS-IS: canales sin integración y hoja de cálculo como registro (B15).</t>
  </si>
  <si>
    <t xml:space="preserve">https://github.com/Simon-Montoya/AREM-Equipo1-ISD (carpeta 03-arquitectura-c4)</t>
  </si>
  <si>
    <t xml:space="preserve">Taller 4 - Mapa de infraestructura y diagnóstico, equipo ISD Colombia</t>
  </si>
  <si>
    <t xml:space="preserve">Mapa por zonas y 4 riesgos priorizados (B14, B16, B17; refuerza B03/B04).</t>
  </si>
  <si>
    <t xml:space="preserve">https://github.com/Simon-Montoya/AREM-Equipo1-ISD (carpeta 04-infraestructura)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</si>
</sst>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1"/>
      <color rgb="FF123B5D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B5D"/>
        <bgColor rgb="FF333333"/>
      </patternFill>
    </fill>
    <fill>
      <patternFill patternType="solid">
        <fgColor rgb="FFE9F0F6"/>
        <bgColor rgb="FFFFFFFF"/>
      </patternFill>
    </fill>
    <fill>
      <patternFill patternType="solid">
        <fgColor rgb="FF1F5A85"/>
        <bgColor rgb="FF123B5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F0F6"/>
      <rgbColor rgb="FF660066"/>
      <rgbColor rgb="FFFF8080"/>
      <rgbColor rgb="FF1F5A8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B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9.25" hidden="false" customHeight="true" outlineLevel="0" collapsed="false">
      <c r="A3" s="2" t="s">
        <v>1</v>
      </c>
      <c r="B3" s="3" t="s">
        <v>2</v>
      </c>
    </row>
    <row r="4" customFormat="false" ht="15" hidden="false" customHeight="true" outlineLevel="0" collapsed="false">
      <c r="A4" s="2" t="s">
        <v>3</v>
      </c>
      <c r="B4" s="3" t="s">
        <v>4</v>
      </c>
    </row>
    <row r="5" customFormat="false" ht="29.25" hidden="false" customHeight="true" outlineLevel="0" collapsed="false">
      <c r="A5" s="2" t="s">
        <v>5</v>
      </c>
      <c r="B5" s="3" t="s">
        <v>6</v>
      </c>
    </row>
    <row r="6" customFormat="false" ht="29.25" hidden="false" customHeight="true" outlineLevel="0" collapsed="false">
      <c r="A6" s="2" t="s">
        <v>7</v>
      </c>
      <c r="B6" s="3" t="s">
        <v>8</v>
      </c>
    </row>
    <row r="7" customFormat="false" ht="29.25" hidden="false" customHeight="true" outlineLevel="0" collapsed="false">
      <c r="A7" s="2" t="s">
        <v>9</v>
      </c>
      <c r="B7" s="3" t="s">
        <v>10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11" min="8" style="0" width="12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36"/>
    <col collapsed="false" customWidth="true" hidden="false" outlineLevel="0" max="15" min="15" style="0" width="32"/>
    <col collapsed="false" customWidth="true" hidden="false" outlineLevel="0" max="16" min="16" style="0" width="28"/>
    <col collapsed="false" customWidth="true" hidden="false" outlineLevel="0" max="18" min="17" style="0" width="20"/>
    <col collapsed="false" customWidth="true" hidden="false" outlineLevel="0" max="20" min="20" style="0" width="18"/>
    <col collapsed="false" customWidth="true" hidden="false" outlineLevel="0" max="21" min="21" style="0" width="12"/>
  </cols>
  <sheetData>
    <row r="1" customFormat="false" ht="19.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14.2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25</v>
      </c>
      <c r="O3" s="4" t="s">
        <v>26</v>
      </c>
      <c r="P3" s="4" t="s">
        <v>27</v>
      </c>
      <c r="Q3" s="4" t="s">
        <v>28</v>
      </c>
      <c r="R3" s="4" t="s">
        <v>29</v>
      </c>
      <c r="T3" s="4" t="s">
        <v>30</v>
      </c>
      <c r="U3" s="4" t="s">
        <v>31</v>
      </c>
    </row>
    <row r="4" customFormat="false" ht="28.5" hidden="false" customHeight="true" outlineLevel="0" collapsed="false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n">
        <v>4</v>
      </c>
      <c r="J4" s="3" t="n">
        <v>3</v>
      </c>
      <c r="K4" s="3" t="n">
        <v>4</v>
      </c>
      <c r="L4" s="5" t="n">
        <f aca="false">I4*0.4+J4*0.2+K4*0.4</f>
        <v>3.8</v>
      </c>
      <c r="M4" s="3" t="str">
        <f aca="false">IF(L4&gt;=4.5,"Crítica",IF(L4&gt;=3.75,"Alta",IF(L4&gt;=3,"Media","Baja")))</f>
        <v>Alta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T4" s="6" t="s">
        <v>20</v>
      </c>
      <c r="U4" s="6" t="s">
        <v>45</v>
      </c>
    </row>
    <row r="5" customFormat="false" ht="28.5" hidden="false" customHeight="true" outlineLevel="0" collapsed="false">
      <c r="A5" s="3" t="s">
        <v>46</v>
      </c>
      <c r="B5" s="3" t="s">
        <v>33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39</v>
      </c>
      <c r="I5" s="3" t="n">
        <v>5</v>
      </c>
      <c r="J5" s="3" t="n">
        <v>4</v>
      </c>
      <c r="K5" s="3" t="n">
        <v>4</v>
      </c>
      <c r="L5" s="5" t="n">
        <f aca="false">I5*0.4+J5*0.2+K5*0.4</f>
        <v>4.4</v>
      </c>
      <c r="M5" s="3" t="str">
        <f aca="false">IF(L5&gt;=4.5,"Crítica",IF(L5&gt;=3.75,"Alta",IF(L5&gt;=3,"Media","Baja")))</f>
        <v>Alta</v>
      </c>
      <c r="N5" s="3" t="s">
        <v>52</v>
      </c>
      <c r="O5" s="3" t="s">
        <v>53</v>
      </c>
      <c r="P5" s="3" t="s">
        <v>54</v>
      </c>
      <c r="Q5" s="3" t="s">
        <v>55</v>
      </c>
      <c r="R5" s="3" t="s">
        <v>44</v>
      </c>
      <c r="T5" s="6" t="s">
        <v>21</v>
      </c>
      <c r="U5" s="6" t="s">
        <v>56</v>
      </c>
    </row>
    <row r="6" customFormat="false" ht="42.75" hidden="false" customHeight="true" outlineLevel="0" collapsed="false">
      <c r="A6" s="3" t="s">
        <v>57</v>
      </c>
      <c r="B6" s="3" t="s">
        <v>58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3" t="s">
        <v>39</v>
      </c>
      <c r="I6" s="3" t="n">
        <v>5</v>
      </c>
      <c r="J6" s="3" t="n">
        <v>4</v>
      </c>
      <c r="K6" s="3" t="n">
        <v>5</v>
      </c>
      <c r="L6" s="5" t="n">
        <f aca="false">I6*0.4+J6*0.2+K6*0.4</f>
        <v>4.8</v>
      </c>
      <c r="M6" s="3" t="str">
        <f aca="false">IF(L6&gt;=4.5,"Crítica",IF(L6&gt;=3.75,"Alta",IF(L6&gt;=3,"Media","Baja")))</f>
        <v>Crítica</v>
      </c>
      <c r="N6" s="3" t="s">
        <v>64</v>
      </c>
      <c r="O6" s="3" t="s">
        <v>65</v>
      </c>
      <c r="P6" s="3" t="s">
        <v>66</v>
      </c>
      <c r="Q6" s="3" t="s">
        <v>67</v>
      </c>
      <c r="R6" s="3" t="s">
        <v>44</v>
      </c>
      <c r="T6" s="6" t="s">
        <v>22</v>
      </c>
      <c r="U6" s="6" t="s">
        <v>56</v>
      </c>
    </row>
    <row r="7" customFormat="false" ht="28.5" hidden="false" customHeight="true" outlineLevel="0" collapsed="false">
      <c r="A7" s="3" t="s">
        <v>68</v>
      </c>
      <c r="B7" s="3" t="s">
        <v>58</v>
      </c>
      <c r="C7" s="3" t="s">
        <v>69</v>
      </c>
      <c r="D7" s="3" t="s">
        <v>70</v>
      </c>
      <c r="E7" s="3" t="s">
        <v>71</v>
      </c>
      <c r="F7" s="3" t="s">
        <v>62</v>
      </c>
      <c r="G7" s="3" t="s">
        <v>72</v>
      </c>
      <c r="H7" s="3" t="s">
        <v>39</v>
      </c>
      <c r="I7" s="3" t="n">
        <v>5</v>
      </c>
      <c r="J7" s="3" t="n">
        <v>4</v>
      </c>
      <c r="K7" s="3" t="n">
        <v>5</v>
      </c>
      <c r="L7" s="5" t="n">
        <f aca="false">I7*0.4+J7*0.2+K7*0.4</f>
        <v>4.8</v>
      </c>
      <c r="M7" s="3" t="str">
        <f aca="false">IF(L7&gt;=4.5,"Crítica",IF(L7&gt;=3.75,"Alta",IF(L7&gt;=3,"Media","Baja")))</f>
        <v>Crítica</v>
      </c>
      <c r="N7" s="3" t="s">
        <v>73</v>
      </c>
      <c r="O7" s="3" t="s">
        <v>74</v>
      </c>
      <c r="P7" s="3" t="s">
        <v>75</v>
      </c>
      <c r="Q7" s="3" t="s">
        <v>76</v>
      </c>
      <c r="R7" s="3" t="s">
        <v>44</v>
      </c>
    </row>
    <row r="8" customFormat="false" ht="28.5" hidden="false" customHeight="true" outlineLevel="0" collapsed="false">
      <c r="A8" s="3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37</v>
      </c>
      <c r="G8" s="3" t="s">
        <v>82</v>
      </c>
      <c r="H8" s="3" t="s">
        <v>39</v>
      </c>
      <c r="I8" s="3" t="n">
        <v>4</v>
      </c>
      <c r="J8" s="3" t="n">
        <v>4</v>
      </c>
      <c r="K8" s="3" t="n">
        <v>5</v>
      </c>
      <c r="L8" s="5" t="n">
        <f aca="false">I8*0.4+J8*0.2+K8*0.4</f>
        <v>4.4</v>
      </c>
      <c r="M8" s="3" t="str">
        <f aca="false">IF(L8&gt;=4.5,"Crítica",IF(L8&gt;=3.75,"Alta",IF(L8&gt;=3,"Media","Baja")))</f>
        <v>Alta</v>
      </c>
      <c r="N8" s="3" t="s">
        <v>83</v>
      </c>
      <c r="O8" s="3" t="s">
        <v>84</v>
      </c>
      <c r="P8" s="3" t="s">
        <v>85</v>
      </c>
      <c r="Q8" s="3" t="s">
        <v>67</v>
      </c>
      <c r="R8" s="3" t="s">
        <v>44</v>
      </c>
    </row>
    <row r="9" customFormat="false" ht="28.5" hidden="false" customHeight="true" outlineLevel="0" collapsed="false">
      <c r="A9" s="3" t="s">
        <v>86</v>
      </c>
      <c r="B9" s="3" t="s">
        <v>78</v>
      </c>
      <c r="C9" s="3" t="s">
        <v>87</v>
      </c>
      <c r="D9" s="3" t="s">
        <v>88</v>
      </c>
      <c r="E9" s="3" t="s">
        <v>89</v>
      </c>
      <c r="F9" s="3" t="s">
        <v>62</v>
      </c>
      <c r="G9" s="3" t="s">
        <v>90</v>
      </c>
      <c r="H9" s="3" t="s">
        <v>91</v>
      </c>
      <c r="I9" s="3" t="n">
        <v>4</v>
      </c>
      <c r="J9" s="3" t="n">
        <v>3</v>
      </c>
      <c r="K9" s="3" t="n">
        <v>5</v>
      </c>
      <c r="L9" s="5" t="n">
        <f aca="false">I9*0.4+J9*0.2+K9*0.4</f>
        <v>4.2</v>
      </c>
      <c r="M9" s="3" t="str">
        <f aca="false">IF(L9&gt;=4.5,"Crítica",IF(L9&gt;=3.75,"Alta",IF(L9&gt;=3,"Media","Baja")))</f>
        <v>Alta</v>
      </c>
      <c r="N9" s="3" t="s">
        <v>92</v>
      </c>
      <c r="O9" s="3" t="s">
        <v>93</v>
      </c>
      <c r="P9" s="3" t="s">
        <v>94</v>
      </c>
      <c r="Q9" s="3" t="s">
        <v>67</v>
      </c>
      <c r="R9" s="3" t="s">
        <v>44</v>
      </c>
    </row>
    <row r="10" customFormat="false" ht="42.75" hidden="false" customHeight="true" outlineLevel="0" collapsed="false">
      <c r="A10" s="3" t="s">
        <v>95</v>
      </c>
      <c r="B10" s="3" t="s">
        <v>96</v>
      </c>
      <c r="C10" s="3" t="s">
        <v>5</v>
      </c>
      <c r="D10" s="3" t="s">
        <v>97</v>
      </c>
      <c r="E10" s="3" t="s">
        <v>98</v>
      </c>
      <c r="F10" s="3" t="s">
        <v>99</v>
      </c>
      <c r="G10" s="3" t="s">
        <v>100</v>
      </c>
      <c r="H10" s="3" t="s">
        <v>39</v>
      </c>
      <c r="I10" s="3" t="n">
        <v>4</v>
      </c>
      <c r="J10" s="3" t="n">
        <v>5</v>
      </c>
      <c r="K10" s="3" t="n">
        <v>5</v>
      </c>
      <c r="L10" s="5" t="n">
        <f aca="false">I10*0.4+J10*0.2+K10*0.4</f>
        <v>4.6</v>
      </c>
      <c r="M10" s="3" t="str">
        <f aca="false">IF(L10&gt;=4.5,"Crítica",IF(L10&gt;=3.75,"Alta",IF(L10&gt;=3,"Media","Baja")))</f>
        <v>Crítica</v>
      </c>
      <c r="N10" s="3" t="s">
        <v>101</v>
      </c>
      <c r="O10" s="3" t="s">
        <v>102</v>
      </c>
      <c r="P10" s="3" t="s">
        <v>103</v>
      </c>
      <c r="Q10" s="3" t="s">
        <v>104</v>
      </c>
      <c r="R10" s="3" t="s">
        <v>105</v>
      </c>
    </row>
    <row r="11" customFormat="false" ht="28.5" hidden="false" customHeight="true" outlineLevel="0" collapsed="false">
      <c r="A11" s="3" t="s">
        <v>106</v>
      </c>
      <c r="B11" s="3" t="s">
        <v>96</v>
      </c>
      <c r="C11" s="3" t="s">
        <v>107</v>
      </c>
      <c r="D11" s="3" t="s">
        <v>108</v>
      </c>
      <c r="E11" s="3" t="s">
        <v>109</v>
      </c>
      <c r="F11" s="3" t="s">
        <v>99</v>
      </c>
      <c r="G11" s="3" t="s">
        <v>110</v>
      </c>
      <c r="H11" s="3" t="s">
        <v>39</v>
      </c>
      <c r="I11" s="3" t="n">
        <v>4</v>
      </c>
      <c r="J11" s="3" t="n">
        <v>5</v>
      </c>
      <c r="K11" s="3" t="n">
        <v>5</v>
      </c>
      <c r="L11" s="5" t="n">
        <f aca="false">I11*0.4+J11*0.2+K11*0.4</f>
        <v>4.6</v>
      </c>
      <c r="M11" s="3" t="str">
        <f aca="false">IF(L11&gt;=4.5,"Crítica",IF(L11&gt;=3.75,"Alta",IF(L11&gt;=3,"Media","Baja")))</f>
        <v>Crítica</v>
      </c>
      <c r="N11" s="3" t="s">
        <v>111</v>
      </c>
      <c r="O11" s="3" t="s">
        <v>112</v>
      </c>
      <c r="P11" s="3" t="s">
        <v>113</v>
      </c>
      <c r="Q11" s="3" t="s">
        <v>104</v>
      </c>
      <c r="R11" s="3" t="s">
        <v>105</v>
      </c>
    </row>
    <row r="12" customFormat="false" ht="28.5" hidden="false" customHeight="true" outlineLevel="0" collapsed="false">
      <c r="A12" s="3" t="s">
        <v>114</v>
      </c>
      <c r="B12" s="3" t="s">
        <v>96</v>
      </c>
      <c r="C12" s="3" t="s">
        <v>115</v>
      </c>
      <c r="D12" s="3" t="s">
        <v>116</v>
      </c>
      <c r="E12" s="3" t="s">
        <v>117</v>
      </c>
      <c r="F12" s="3" t="s">
        <v>99</v>
      </c>
      <c r="G12" s="3" t="s">
        <v>118</v>
      </c>
      <c r="H12" s="3" t="s">
        <v>39</v>
      </c>
      <c r="I12" s="3" t="n">
        <v>4</v>
      </c>
      <c r="J12" s="3" t="n">
        <v>5</v>
      </c>
      <c r="K12" s="3" t="n">
        <v>5</v>
      </c>
      <c r="L12" s="5" t="n">
        <f aca="false">I12*0.4+J12*0.2+K12*0.4</f>
        <v>4.6</v>
      </c>
      <c r="M12" s="3" t="str">
        <f aca="false">IF(L12&gt;=4.5,"Crítica",IF(L12&gt;=3.75,"Alta",IF(L12&gt;=3,"Media","Baja")))</f>
        <v>Crítica</v>
      </c>
      <c r="N12" s="3" t="s">
        <v>119</v>
      </c>
      <c r="O12" s="3" t="s">
        <v>120</v>
      </c>
      <c r="P12" s="3" t="s">
        <v>121</v>
      </c>
      <c r="Q12" s="3" t="s">
        <v>104</v>
      </c>
      <c r="R12" s="3" t="s">
        <v>105</v>
      </c>
    </row>
    <row r="13" customFormat="false" ht="42.75" hidden="false" customHeight="true" outlineLevel="0" collapsed="false">
      <c r="A13" s="3" t="s">
        <v>122</v>
      </c>
      <c r="B13" s="3" t="s">
        <v>96</v>
      </c>
      <c r="C13" s="3" t="s">
        <v>123</v>
      </c>
      <c r="D13" s="3" t="s">
        <v>124</v>
      </c>
      <c r="E13" s="3" t="s">
        <v>125</v>
      </c>
      <c r="F13" s="3" t="s">
        <v>99</v>
      </c>
      <c r="G13" s="3" t="s">
        <v>126</v>
      </c>
      <c r="H13" s="3" t="s">
        <v>39</v>
      </c>
      <c r="I13" s="3" t="n">
        <v>5</v>
      </c>
      <c r="J13" s="3" t="n">
        <v>5</v>
      </c>
      <c r="K13" s="3" t="n">
        <v>5</v>
      </c>
      <c r="L13" s="5" t="n">
        <f aca="false">I13*0.4+J13*0.2+K13*0.4</f>
        <v>5</v>
      </c>
      <c r="M13" s="3" t="str">
        <f aca="false">IF(L13&gt;=4.5,"Crítica",IF(L13&gt;=3.75,"Alta",IF(L13&gt;=3,"Media","Baja")))</f>
        <v>Crítica</v>
      </c>
      <c r="N13" s="3" t="s">
        <v>127</v>
      </c>
      <c r="O13" s="3" t="s">
        <v>128</v>
      </c>
      <c r="P13" s="3" t="s">
        <v>129</v>
      </c>
      <c r="Q13" s="3" t="s">
        <v>104</v>
      </c>
      <c r="R13" s="3" t="s">
        <v>105</v>
      </c>
    </row>
    <row r="14" customFormat="false" ht="28.5" hidden="false" customHeight="true" outlineLevel="0" collapsed="false">
      <c r="A14" s="3" t="s">
        <v>130</v>
      </c>
      <c r="B14" s="3" t="s">
        <v>96</v>
      </c>
      <c r="C14" s="3" t="s">
        <v>131</v>
      </c>
      <c r="D14" s="3" t="s">
        <v>132</v>
      </c>
      <c r="E14" s="3" t="s">
        <v>133</v>
      </c>
      <c r="F14" s="3" t="s">
        <v>21</v>
      </c>
      <c r="G14" s="3" t="s">
        <v>134</v>
      </c>
      <c r="H14" s="3" t="s">
        <v>91</v>
      </c>
      <c r="I14" s="3" t="n">
        <v>4</v>
      </c>
      <c r="J14" s="3" t="n">
        <v>5</v>
      </c>
      <c r="K14" s="3" t="n">
        <v>5</v>
      </c>
      <c r="L14" s="5" t="n">
        <f aca="false">I14*0.4+J14*0.2+K14*0.4</f>
        <v>4.6</v>
      </c>
      <c r="M14" s="3" t="str">
        <f aca="false">IF(L14&gt;=4.5,"Crítica",IF(L14&gt;=3.75,"Alta",IF(L14&gt;=3,"Media","Baja")))</f>
        <v>Crítica</v>
      </c>
      <c r="N14" s="3" t="s">
        <v>135</v>
      </c>
      <c r="O14" s="3" t="s">
        <v>136</v>
      </c>
      <c r="P14" s="3" t="s">
        <v>137</v>
      </c>
      <c r="Q14" s="3" t="s">
        <v>104</v>
      </c>
      <c r="R14" s="3" t="s">
        <v>138</v>
      </c>
    </row>
    <row r="15" customFormat="false" ht="42.75" hidden="false" customHeight="true" outlineLevel="0" collapsed="false">
      <c r="A15" s="3" t="s">
        <v>139</v>
      </c>
      <c r="B15" s="3" t="s">
        <v>96</v>
      </c>
      <c r="C15" s="3" t="s">
        <v>140</v>
      </c>
      <c r="D15" s="3" t="s">
        <v>141</v>
      </c>
      <c r="E15" s="3" t="s">
        <v>142</v>
      </c>
      <c r="F15" s="3" t="s">
        <v>143</v>
      </c>
      <c r="G15" s="3" t="s">
        <v>144</v>
      </c>
      <c r="H15" s="3" t="s">
        <v>145</v>
      </c>
      <c r="I15" s="3" t="n">
        <v>3</v>
      </c>
      <c r="J15" s="3" t="n">
        <v>3</v>
      </c>
      <c r="K15" s="3" t="n">
        <v>4</v>
      </c>
      <c r="L15" s="5" t="n">
        <f aca="false">I15*0.4+J15*0.2+K15*0.4</f>
        <v>3.4</v>
      </c>
      <c r="M15" s="3" t="str">
        <f aca="false">IF(L15&gt;=4.5,"Crítica",IF(L15&gt;=3.75,"Alta",IF(L15&gt;=3,"Media","Baja")))</f>
        <v>Media</v>
      </c>
      <c r="N15" s="3" t="s">
        <v>146</v>
      </c>
      <c r="O15" s="3" t="s">
        <v>147</v>
      </c>
      <c r="P15" s="3" t="s">
        <v>148</v>
      </c>
      <c r="Q15" s="3" t="s">
        <v>149</v>
      </c>
      <c r="R15" s="3" t="s">
        <v>138</v>
      </c>
    </row>
    <row r="16" customFormat="false" ht="57" hidden="false" customHeight="true" outlineLevel="0" collapsed="false">
      <c r="A16" s="3" t="s">
        <v>150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39</v>
      </c>
      <c r="I16" s="3" t="n">
        <v>4</v>
      </c>
      <c r="J16" s="3" t="n">
        <v>4</v>
      </c>
      <c r="K16" s="3" t="n">
        <v>4</v>
      </c>
      <c r="L16" s="5" t="n">
        <f aca="false">I16*0.4+J16*0.2+K16*0.4</f>
        <v>4</v>
      </c>
      <c r="M16" s="3" t="str">
        <f aca="false">IF(L16&gt;=4.5,"Crítica",IF(L16&gt;=3.75,"Alta",IF(L16&gt;=3,"Media","Baja")))</f>
        <v>Alta</v>
      </c>
      <c r="N16" s="3" t="s">
        <v>157</v>
      </c>
      <c r="O16" s="3" t="s">
        <v>158</v>
      </c>
      <c r="P16" s="3" t="s">
        <v>159</v>
      </c>
      <c r="Q16" s="3" t="s">
        <v>160</v>
      </c>
      <c r="R16" s="3" t="s">
        <v>44</v>
      </c>
    </row>
    <row r="17" customFormat="false" ht="57" hidden="false" customHeight="true" outlineLevel="0" collapsed="false">
      <c r="A17" s="3" t="s">
        <v>161</v>
      </c>
      <c r="B17" s="3" t="s">
        <v>162</v>
      </c>
      <c r="C17" s="3" t="s">
        <v>163</v>
      </c>
      <c r="D17" s="3" t="s">
        <v>164</v>
      </c>
      <c r="E17" s="3" t="s">
        <v>165</v>
      </c>
      <c r="F17" s="3" t="s">
        <v>50</v>
      </c>
      <c r="G17" s="3" t="s">
        <v>166</v>
      </c>
      <c r="H17" s="3" t="s">
        <v>39</v>
      </c>
      <c r="I17" s="3" t="n">
        <v>5</v>
      </c>
      <c r="J17" s="3" t="n">
        <v>3</v>
      </c>
      <c r="K17" s="3" t="n">
        <v>4</v>
      </c>
      <c r="L17" s="5" t="n">
        <f aca="false">I17*0.4+J17*0.2+K17*0.4</f>
        <v>4.2</v>
      </c>
      <c r="M17" s="3" t="str">
        <f aca="false">IF(L17&gt;=4.5,"Crítica",IF(L17&gt;=3.75,"Alta",IF(L17&gt;=3,"Media","Baja")))</f>
        <v>Alta</v>
      </c>
      <c r="N17" s="3" t="s">
        <v>167</v>
      </c>
      <c r="O17" s="3" t="s">
        <v>168</v>
      </c>
      <c r="P17" s="3" t="s">
        <v>169</v>
      </c>
      <c r="Q17" s="3" t="s">
        <v>67</v>
      </c>
      <c r="R17" s="3" t="s">
        <v>44</v>
      </c>
    </row>
    <row r="18" customFormat="false" ht="57" hidden="false" customHeight="true" outlineLevel="0" collapsed="false">
      <c r="A18" s="3" t="s">
        <v>170</v>
      </c>
      <c r="B18" s="3" t="s">
        <v>151</v>
      </c>
      <c r="C18" s="3" t="s">
        <v>171</v>
      </c>
      <c r="D18" s="3" t="s">
        <v>172</v>
      </c>
      <c r="E18" s="3" t="s">
        <v>173</v>
      </c>
      <c r="F18" s="3" t="s">
        <v>37</v>
      </c>
      <c r="G18" s="3" t="s">
        <v>174</v>
      </c>
      <c r="H18" s="3" t="s">
        <v>39</v>
      </c>
      <c r="I18" s="3" t="n">
        <v>4</v>
      </c>
      <c r="J18" s="3" t="n">
        <v>3</v>
      </c>
      <c r="K18" s="3" t="n">
        <v>4</v>
      </c>
      <c r="L18" s="5" t="n">
        <f aca="false">I18*0.4+J18*0.2+K18*0.4</f>
        <v>3.8</v>
      </c>
      <c r="M18" s="3" t="str">
        <f aca="false">IF(L18&gt;=4.5,"Crítica",IF(L18&gt;=3.75,"Alta",IF(L18&gt;=3,"Media","Baja")))</f>
        <v>Alta</v>
      </c>
      <c r="N18" s="3" t="s">
        <v>175</v>
      </c>
      <c r="O18" s="3" t="s">
        <v>176</v>
      </c>
      <c r="P18" s="3" t="s">
        <v>177</v>
      </c>
      <c r="Q18" s="3" t="s">
        <v>178</v>
      </c>
      <c r="R18" s="3" t="s">
        <v>44</v>
      </c>
    </row>
    <row r="19" customFormat="false" ht="57" hidden="false" customHeight="true" outlineLevel="0" collapsed="false">
      <c r="A19" s="3" t="s">
        <v>179</v>
      </c>
      <c r="B19" s="3" t="s">
        <v>151</v>
      </c>
      <c r="C19" s="3" t="s">
        <v>180</v>
      </c>
      <c r="D19" s="3" t="s">
        <v>181</v>
      </c>
      <c r="E19" s="3" t="s">
        <v>182</v>
      </c>
      <c r="F19" s="3" t="s">
        <v>183</v>
      </c>
      <c r="G19" s="3" t="s">
        <v>184</v>
      </c>
      <c r="H19" s="3" t="s">
        <v>185</v>
      </c>
      <c r="I19" s="3" t="n">
        <v>2</v>
      </c>
      <c r="J19" s="3" t="n">
        <v>2</v>
      </c>
      <c r="K19" s="3" t="n">
        <v>2</v>
      </c>
      <c r="L19" s="5" t="n">
        <f aca="false">I19*0.4+J19*0.2+K19*0.4</f>
        <v>2</v>
      </c>
      <c r="M19" s="3" t="str">
        <f aca="false">IF(L19&gt;=4.5,"Crítica",IF(L19&gt;=3.75,"Alta",IF(L19&gt;=3,"Media","Baja")))</f>
        <v>Baja</v>
      </c>
      <c r="N19" s="3" t="s">
        <v>186</v>
      </c>
      <c r="O19" s="3" t="s">
        <v>187</v>
      </c>
      <c r="P19" s="3" t="s">
        <v>188</v>
      </c>
      <c r="Q19" s="3" t="s">
        <v>76</v>
      </c>
      <c r="R19" s="3" t="s">
        <v>44</v>
      </c>
    </row>
  </sheetData>
  <mergeCells count="1">
    <mergeCell ref="A1:R1"/>
  </mergeCells>
  <conditionalFormatting sqref="L4:L19">
    <cfRule type="colorScale" priority="2">
      <colorScale>
        <cfvo type="min" val="0"/>
        <cfvo type="percentile" val="50"/>
        <cfvo type="max" val="0"/>
        <color rgb="FFE8F5E9"/>
        <color rgb="FFFFF3CD"/>
        <color rgb="FFF8D7D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45"/>
    <col collapsed="false" customWidth="true" hidden="false" outlineLevel="0" max="7" min="7" style="0" width="38"/>
    <col collapsed="false" customWidth="true" hidden="false" outlineLevel="0" max="8" min="8" style="0" width="34"/>
    <col collapsed="false" customWidth="true" hidden="false" outlineLevel="0" max="9" min="9" style="0" width="28"/>
    <col collapsed="false" customWidth="true" hidden="false" outlineLevel="0" max="11" min="10" style="0" width="18"/>
  </cols>
  <sheetData>
    <row r="1" customFormat="false" ht="19.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4.25" hidden="false" customHeight="false" outlineLevel="0" collapsed="false">
      <c r="A3" s="4" t="s">
        <v>12</v>
      </c>
      <c r="B3" s="4" t="s">
        <v>190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27</v>
      </c>
      <c r="J3" s="4" t="s">
        <v>197</v>
      </c>
      <c r="K3" s="4" t="s">
        <v>198</v>
      </c>
    </row>
    <row r="4" customFormat="false" ht="28.5" hidden="false" customHeight="true" outlineLevel="0" collapsed="false">
      <c r="A4" s="3" t="s">
        <v>199</v>
      </c>
      <c r="B4" s="3" t="s">
        <v>200</v>
      </c>
      <c r="C4" s="3" t="s">
        <v>50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205</v>
      </c>
      <c r="I4" s="3" t="s">
        <v>66</v>
      </c>
      <c r="J4" s="3" t="s">
        <v>39</v>
      </c>
      <c r="K4" s="3" t="s">
        <v>206</v>
      </c>
    </row>
    <row r="5" customFormat="false" ht="28.5" hidden="false" customHeight="true" outlineLevel="0" collapsed="false">
      <c r="A5" s="3" t="s">
        <v>207</v>
      </c>
      <c r="B5" s="3" t="s">
        <v>208</v>
      </c>
      <c r="C5" s="3" t="s">
        <v>62</v>
      </c>
      <c r="D5" s="3" t="s">
        <v>209</v>
      </c>
      <c r="E5" s="3" t="s">
        <v>210</v>
      </c>
      <c r="F5" s="3" t="s">
        <v>211</v>
      </c>
      <c r="G5" s="3" t="s">
        <v>212</v>
      </c>
      <c r="H5" s="3" t="s">
        <v>213</v>
      </c>
      <c r="I5" s="3" t="s">
        <v>214</v>
      </c>
      <c r="J5" s="3" t="s">
        <v>39</v>
      </c>
      <c r="K5" s="3" t="s">
        <v>206</v>
      </c>
    </row>
    <row r="6" customFormat="false" ht="42.75" hidden="false" customHeight="true" outlineLevel="0" collapsed="false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3" t="s">
        <v>222</v>
      </c>
      <c r="I6" s="3" t="s">
        <v>223</v>
      </c>
      <c r="J6" s="3" t="s">
        <v>39</v>
      </c>
      <c r="K6" s="3" t="s">
        <v>206</v>
      </c>
    </row>
    <row r="7" customFormat="false" ht="42.75" hidden="false" customHeight="true" outlineLevel="0" collapsed="false">
      <c r="A7" s="3" t="s">
        <v>224</v>
      </c>
      <c r="B7" s="3" t="s">
        <v>225</v>
      </c>
      <c r="C7" s="3" t="s">
        <v>62</v>
      </c>
      <c r="D7" s="3" t="s">
        <v>226</v>
      </c>
      <c r="E7" s="3" t="s">
        <v>227</v>
      </c>
      <c r="F7" s="3" t="s">
        <v>228</v>
      </c>
      <c r="G7" s="3" t="s">
        <v>229</v>
      </c>
      <c r="H7" s="3" t="s">
        <v>230</v>
      </c>
      <c r="I7" s="3" t="s">
        <v>231</v>
      </c>
      <c r="J7" s="3" t="s">
        <v>39</v>
      </c>
      <c r="K7" s="3" t="s">
        <v>206</v>
      </c>
    </row>
    <row r="8" customFormat="false" ht="28.5" hidden="false" customHeight="true" outlineLevel="0" collapsed="false">
      <c r="A8" s="3" t="s">
        <v>232</v>
      </c>
      <c r="B8" s="3" t="s">
        <v>233</v>
      </c>
      <c r="C8" s="3" t="s">
        <v>234</v>
      </c>
      <c r="D8" s="3" t="s">
        <v>235</v>
      </c>
      <c r="E8" s="3" t="s">
        <v>210</v>
      </c>
      <c r="F8" s="3" t="s">
        <v>236</v>
      </c>
      <c r="G8" s="3" t="s">
        <v>237</v>
      </c>
      <c r="H8" s="3" t="s">
        <v>238</v>
      </c>
      <c r="I8" s="3" t="s">
        <v>239</v>
      </c>
      <c r="J8" s="3" t="s">
        <v>91</v>
      </c>
      <c r="K8" s="3" t="s">
        <v>206</v>
      </c>
    </row>
    <row r="9" customFormat="false" ht="28.5" hidden="false" customHeight="true" outlineLevel="0" collapsed="false">
      <c r="A9" s="3" t="s">
        <v>240</v>
      </c>
      <c r="B9" s="3" t="s">
        <v>241</v>
      </c>
      <c r="C9" s="3" t="s">
        <v>21</v>
      </c>
      <c r="D9" s="3" t="s">
        <v>242</v>
      </c>
      <c r="E9" s="3" t="s">
        <v>243</v>
      </c>
      <c r="F9" s="3" t="s">
        <v>244</v>
      </c>
      <c r="G9" s="3" t="s">
        <v>245</v>
      </c>
      <c r="H9" s="3" t="s">
        <v>246</v>
      </c>
      <c r="I9" s="3" t="s">
        <v>247</v>
      </c>
      <c r="J9" s="3" t="s">
        <v>248</v>
      </c>
      <c r="K9" s="3" t="s">
        <v>206</v>
      </c>
    </row>
    <row r="10" customFormat="false" ht="28.5" hidden="false" customHeight="true" outlineLevel="0" collapsed="false">
      <c r="A10" s="3" t="s">
        <v>249</v>
      </c>
      <c r="B10" s="3" t="s">
        <v>250</v>
      </c>
      <c r="C10" s="3" t="s">
        <v>183</v>
      </c>
      <c r="D10" s="3" t="s">
        <v>251</v>
      </c>
      <c r="E10" s="3" t="s">
        <v>210</v>
      </c>
      <c r="F10" s="3" t="s">
        <v>252</v>
      </c>
      <c r="G10" s="3" t="s">
        <v>253</v>
      </c>
      <c r="H10" s="3" t="s">
        <v>254</v>
      </c>
      <c r="I10" s="3" t="s">
        <v>188</v>
      </c>
      <c r="J10" s="3" t="s">
        <v>145</v>
      </c>
      <c r="K10" s="3" t="s">
        <v>255</v>
      </c>
    </row>
    <row r="11" customFormat="false" ht="28.5" hidden="false" customHeight="true" outlineLevel="0" collapsed="false">
      <c r="A11" s="3" t="s">
        <v>256</v>
      </c>
      <c r="B11" s="3" t="s">
        <v>257</v>
      </c>
      <c r="C11" s="3" t="s">
        <v>155</v>
      </c>
      <c r="D11" s="3" t="s">
        <v>258</v>
      </c>
      <c r="E11" s="3" t="s">
        <v>227</v>
      </c>
      <c r="F11" s="3" t="s">
        <v>259</v>
      </c>
      <c r="G11" s="3" t="s">
        <v>260</v>
      </c>
      <c r="H11" s="3" t="s">
        <v>261</v>
      </c>
      <c r="I11" s="3" t="s">
        <v>262</v>
      </c>
      <c r="J11" s="3" t="s">
        <v>91</v>
      </c>
      <c r="K11" s="3" t="s">
        <v>255</v>
      </c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9.5" hidden="false" customHeight="true" outlineLevel="0" collapsed="false">
      <c r="A1" s="1" t="s">
        <v>263</v>
      </c>
      <c r="B1" s="1"/>
      <c r="C1" s="1"/>
      <c r="D1" s="1"/>
      <c r="E1" s="1"/>
      <c r="F1" s="1"/>
      <c r="G1" s="1"/>
      <c r="H1" s="1"/>
    </row>
    <row r="3" customFormat="false" ht="14.25" hidden="false" customHeight="false" outlineLevel="0" collapsed="false">
      <c r="A3" s="4" t="s">
        <v>30</v>
      </c>
      <c r="B3" s="4" t="s">
        <v>31</v>
      </c>
    </row>
    <row r="4" customFormat="false" ht="14.25" hidden="false" customHeight="false" outlineLevel="0" collapsed="false">
      <c r="A4" s="0" t="s">
        <v>264</v>
      </c>
      <c r="B4" s="7" t="n">
        <v>0.2</v>
      </c>
    </row>
    <row r="5" customFormat="false" ht="14.25" hidden="false" customHeight="false" outlineLevel="0" collapsed="false">
      <c r="A5" s="0" t="s">
        <v>265</v>
      </c>
      <c r="B5" s="7" t="n">
        <v>0.2</v>
      </c>
    </row>
    <row r="6" customFormat="false" ht="14.25" hidden="false" customHeight="false" outlineLevel="0" collapsed="false">
      <c r="A6" s="0" t="s">
        <v>266</v>
      </c>
      <c r="B6" s="7" t="n">
        <v>0.2</v>
      </c>
    </row>
    <row r="7" customFormat="false" ht="14.25" hidden="false" customHeight="false" outlineLevel="0" collapsed="false">
      <c r="A7" s="0" t="s">
        <v>267</v>
      </c>
      <c r="B7" s="7" t="n">
        <v>0.15</v>
      </c>
    </row>
    <row r="8" customFormat="false" ht="14.25" hidden="false" customHeight="false" outlineLevel="0" collapsed="false">
      <c r="A8" s="0" t="s">
        <v>268</v>
      </c>
      <c r="B8" s="7" t="n">
        <v>0.15</v>
      </c>
    </row>
    <row r="9" customFormat="false" ht="14.25" hidden="false" customHeight="false" outlineLevel="0" collapsed="false">
      <c r="A9" s="0" t="s">
        <v>269</v>
      </c>
      <c r="B9" s="7" t="n">
        <v>0.1</v>
      </c>
    </row>
    <row r="12" customFormat="false" ht="25.5" hidden="false" customHeight="true" outlineLevel="0" collapsed="false">
      <c r="A12" s="4" t="s">
        <v>270</v>
      </c>
      <c r="B12" s="4" t="s">
        <v>264</v>
      </c>
      <c r="C12" s="4" t="s">
        <v>265</v>
      </c>
      <c r="D12" s="4" t="s">
        <v>266</v>
      </c>
      <c r="E12" s="4" t="s">
        <v>267</v>
      </c>
      <c r="F12" s="4" t="s">
        <v>268</v>
      </c>
      <c r="G12" s="4" t="s">
        <v>269</v>
      </c>
      <c r="H12" s="4" t="s">
        <v>271</v>
      </c>
    </row>
    <row r="13" customFormat="false" ht="14.25" hidden="false" customHeight="false" outlineLevel="0" collapsed="false">
      <c r="A13" s="3" t="s">
        <v>272</v>
      </c>
      <c r="B13" s="3" t="n">
        <v>3</v>
      </c>
      <c r="C13" s="3" t="n">
        <v>3</v>
      </c>
      <c r="D13" s="3" t="n">
        <v>4</v>
      </c>
      <c r="E13" s="3" t="n">
        <v>2</v>
      </c>
      <c r="F13" s="3" t="n">
        <v>5</v>
      </c>
      <c r="G13" s="3" t="n">
        <v>5</v>
      </c>
      <c r="H13" s="3" t="n">
        <f aca="false">B13*$B$4+C13*$B$5+D13*$B$6+E13*$B$7+F13*$B$8+G13*$B$9</f>
        <v>3.55</v>
      </c>
    </row>
    <row r="14" customFormat="false" ht="14.25" hidden="false" customHeight="false" outlineLevel="0" collapsed="false">
      <c r="A14" s="3" t="s">
        <v>273</v>
      </c>
      <c r="B14" s="3" t="n">
        <v>4</v>
      </c>
      <c r="C14" s="3" t="n">
        <v>4</v>
      </c>
      <c r="D14" s="3" t="n">
        <v>4</v>
      </c>
      <c r="E14" s="3" t="n">
        <v>5</v>
      </c>
      <c r="F14" s="3" t="n">
        <v>4</v>
      </c>
      <c r="G14" s="3" t="n">
        <v>4</v>
      </c>
      <c r="H14" s="3" t="n">
        <f aca="false">B14*$B$4+C14*$B$5+D14*$B$6+E14*$B$7+F14*$B$8+G14*$B$9</f>
        <v>4.15</v>
      </c>
    </row>
    <row r="15" customFormat="false" ht="14.25" hidden="false" customHeight="false" outlineLevel="0" collapsed="false">
      <c r="A15" s="3" t="s">
        <v>274</v>
      </c>
      <c r="B15" s="3" t="n">
        <v>2</v>
      </c>
      <c r="C15" s="3" t="n">
        <v>3</v>
      </c>
      <c r="D15" s="3" t="n">
        <v>5</v>
      </c>
      <c r="E15" s="3" t="n">
        <v>3</v>
      </c>
      <c r="F15" s="3" t="n">
        <v>5</v>
      </c>
      <c r="G15" s="3" t="n">
        <v>5</v>
      </c>
      <c r="H15" s="3" t="n">
        <f aca="false">B15*$B$4+C15*$B$5+D15*$B$6+E15*$B$7+F15*$B$8+G15*$B$9</f>
        <v>3.7</v>
      </c>
    </row>
    <row r="18" customFormat="false" ht="15" hidden="false" customHeight="true" outlineLevel="0" collapsed="false">
      <c r="A18" s="2" t="s">
        <v>275</v>
      </c>
      <c r="B18" s="2"/>
      <c r="C18" s="2"/>
      <c r="D18" s="2"/>
      <c r="E18" s="2"/>
      <c r="F18" s="2"/>
      <c r="G18" s="2"/>
      <c r="H18" s="2"/>
    </row>
    <row r="19" customFormat="false" ht="14.25" hidden="false" customHeight="true" outlineLevel="0" collapsed="false">
      <c r="A19" s="3" t="s">
        <v>276</v>
      </c>
      <c r="B19" s="3"/>
      <c r="C19" s="3"/>
      <c r="D19" s="3"/>
      <c r="E19" s="3"/>
      <c r="F19" s="3"/>
      <c r="G19" s="3"/>
      <c r="H19" s="3"/>
    </row>
    <row r="20" customFormat="false" ht="14.2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4.2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4.2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4" customFormat="false" ht="14.25" hidden="false" customHeight="false" outlineLevel="0" collapsed="false">
      <c r="A24" s="4" t="s">
        <v>277</v>
      </c>
      <c r="B24" s="4" t="s">
        <v>278</v>
      </c>
      <c r="C24" s="4" t="s">
        <v>279</v>
      </c>
      <c r="D24" s="4" t="s">
        <v>280</v>
      </c>
      <c r="E24" s="4" t="s">
        <v>281</v>
      </c>
    </row>
    <row r="25" customFormat="false" ht="14.25" hidden="false" customHeight="false" outlineLevel="0" collapsed="false">
      <c r="A25" s="6" t="s">
        <v>282</v>
      </c>
      <c r="B25" s="0" t="n">
        <v>3.55</v>
      </c>
      <c r="C25" s="0" t="n">
        <v>4.15</v>
      </c>
      <c r="D25" s="0" t="n">
        <v>3.7</v>
      </c>
      <c r="E25" s="6" t="s">
        <v>283</v>
      </c>
    </row>
    <row r="26" customFormat="false" ht="14.25" hidden="false" customHeight="false" outlineLevel="0" collapsed="false">
      <c r="A26" s="6" t="s">
        <v>284</v>
      </c>
      <c r="B26" s="0" t="n">
        <v>3.48</v>
      </c>
      <c r="C26" s="0" t="n">
        <v>4.13</v>
      </c>
      <c r="D26" s="0" t="n">
        <v>3.49</v>
      </c>
      <c r="E26" s="6" t="s">
        <v>285</v>
      </c>
    </row>
    <row r="27" customFormat="false" ht="14.25" hidden="false" customHeight="false" outlineLevel="0" collapsed="false">
      <c r="A27" s="6" t="s">
        <v>286</v>
      </c>
      <c r="B27" s="0" t="n">
        <v>3.48</v>
      </c>
      <c r="C27" s="0" t="n">
        <v>4.13</v>
      </c>
      <c r="D27" s="0" t="n">
        <v>3.61</v>
      </c>
      <c r="E27" s="6" t="s">
        <v>287</v>
      </c>
    </row>
    <row r="28" customFormat="false" ht="14.25" hidden="false" customHeight="false" outlineLevel="0" collapsed="false">
      <c r="A28" s="6" t="s">
        <v>288</v>
      </c>
      <c r="B28" s="0" t="n">
        <v>3.61</v>
      </c>
      <c r="C28" s="0" t="n">
        <v>4.13</v>
      </c>
      <c r="D28" s="0" t="n">
        <v>3.86</v>
      </c>
      <c r="E28" s="6" t="s">
        <v>289</v>
      </c>
    </row>
    <row r="29" customFormat="false" ht="14.25" hidden="false" customHeight="false" outlineLevel="0" collapsed="false">
      <c r="A29" s="6" t="s">
        <v>290</v>
      </c>
      <c r="B29" s="6" t="n">
        <v>3.37</v>
      </c>
      <c r="C29" s="6" t="n">
        <v>4.25</v>
      </c>
      <c r="D29" s="6" t="n">
        <v>3.62</v>
      </c>
      <c r="E29" s="6" t="s">
        <v>291</v>
      </c>
    </row>
  </sheetData>
  <mergeCells count="3">
    <mergeCell ref="A1:H1"/>
    <mergeCell ref="A18:H18"/>
    <mergeCell ref="A19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9.5" hidden="false" customHeight="true" outlineLevel="0" collapsed="false">
      <c r="A1" s="1" t="s">
        <v>292</v>
      </c>
      <c r="B1" s="1"/>
      <c r="C1" s="1"/>
      <c r="D1" s="1"/>
      <c r="E1" s="1"/>
      <c r="F1" s="1"/>
      <c r="G1" s="1"/>
      <c r="H1" s="1"/>
    </row>
    <row r="3" customFormat="false" ht="14.25" hidden="false" customHeight="false" outlineLevel="0" collapsed="false">
      <c r="A3" s="4" t="s">
        <v>30</v>
      </c>
      <c r="B3" s="4" t="s">
        <v>31</v>
      </c>
    </row>
    <row r="4" customFormat="false" ht="14.25" hidden="false" customHeight="false" outlineLevel="0" collapsed="false">
      <c r="A4" s="0" t="s">
        <v>293</v>
      </c>
      <c r="B4" s="7" t="n">
        <v>0.3</v>
      </c>
    </row>
    <row r="5" customFormat="false" ht="14.25" hidden="false" customHeight="false" outlineLevel="0" collapsed="false">
      <c r="A5" s="0" t="s">
        <v>269</v>
      </c>
      <c r="B5" s="7" t="n">
        <v>0.2</v>
      </c>
    </row>
    <row r="6" customFormat="false" ht="14.25" hidden="false" customHeight="false" outlineLevel="0" collapsed="false">
      <c r="A6" s="0" t="s">
        <v>294</v>
      </c>
      <c r="B6" s="7" t="n">
        <v>0.2</v>
      </c>
    </row>
    <row r="7" customFormat="false" ht="14.25" hidden="false" customHeight="false" outlineLevel="0" collapsed="false">
      <c r="A7" s="0" t="s">
        <v>295</v>
      </c>
      <c r="B7" s="7" t="n">
        <v>0.15</v>
      </c>
    </row>
    <row r="8" customFormat="false" ht="14.25" hidden="false" customHeight="false" outlineLevel="0" collapsed="false">
      <c r="A8" s="0" t="s">
        <v>296</v>
      </c>
      <c r="B8" s="7" t="n">
        <v>0.15</v>
      </c>
    </row>
    <row r="11" customFormat="false" ht="25.5" hidden="false" customHeight="true" outlineLevel="0" collapsed="false">
      <c r="A11" s="4" t="s">
        <v>270</v>
      </c>
      <c r="B11" s="4" t="s">
        <v>293</v>
      </c>
      <c r="C11" s="4" t="s">
        <v>269</v>
      </c>
      <c r="D11" s="4" t="s">
        <v>294</v>
      </c>
      <c r="E11" s="4" t="s">
        <v>295</v>
      </c>
      <c r="F11" s="4" t="s">
        <v>296</v>
      </c>
      <c r="G11" s="4" t="s">
        <v>271</v>
      </c>
      <c r="H11" s="3"/>
    </row>
    <row r="12" customFormat="false" ht="28.35" hidden="false" customHeight="false" outlineLevel="0" collapsed="false">
      <c r="A12" s="3" t="s">
        <v>297</v>
      </c>
      <c r="B12" s="3" t="n">
        <v>5</v>
      </c>
      <c r="C12" s="3" t="n">
        <v>4</v>
      </c>
      <c r="D12" s="3" t="n">
        <v>4</v>
      </c>
      <c r="E12" s="3" t="n">
        <v>3</v>
      </c>
      <c r="F12" s="3" t="n">
        <v>3</v>
      </c>
      <c r="G12" s="3" t="n">
        <f aca="false">B12*$B$4+C12*$B$5+D12*$B$6+E12*$B$7+F12*$B$8</f>
        <v>4</v>
      </c>
      <c r="H12" s="3"/>
    </row>
    <row r="13" customFormat="false" ht="14.25" hidden="false" customHeight="false" outlineLevel="0" collapsed="false">
      <c r="A13" s="3" t="s">
        <v>298</v>
      </c>
      <c r="B13" s="3" t="n">
        <v>4</v>
      </c>
      <c r="C13" s="3" t="n">
        <v>4</v>
      </c>
      <c r="D13" s="3" t="n">
        <v>3</v>
      </c>
      <c r="E13" s="3" t="n">
        <v>2</v>
      </c>
      <c r="F13" s="3" t="n">
        <v>3</v>
      </c>
      <c r="G13" s="3" t="n">
        <f aca="false">B13*$B$4+C13*$B$5+D13*$B$6+E13*$B$7+F13*$B$8</f>
        <v>3.35</v>
      </c>
      <c r="H13" s="3"/>
    </row>
    <row r="14" customFormat="false" ht="14.25" hidden="false" customHeight="false" outlineLevel="0" collapsed="false">
      <c r="A14" s="3" t="s">
        <v>299</v>
      </c>
      <c r="B14" s="3" t="n">
        <v>2</v>
      </c>
      <c r="C14" s="3" t="n">
        <v>3</v>
      </c>
      <c r="D14" s="3" t="n">
        <v>5</v>
      </c>
      <c r="E14" s="3" t="n">
        <v>5</v>
      </c>
      <c r="F14" s="3" t="n">
        <v>5</v>
      </c>
      <c r="G14" s="3" t="n">
        <f aca="false">B14*$B$4+C14*$B$5+D14*$B$6+E14*$B$7+F14*$B$8</f>
        <v>3.7</v>
      </c>
      <c r="H14" s="3"/>
    </row>
    <row r="17" customFormat="false" ht="15" hidden="false" customHeight="true" outlineLevel="0" collapsed="false">
      <c r="A17" s="2" t="s">
        <v>275</v>
      </c>
      <c r="B17" s="2"/>
      <c r="C17" s="2"/>
      <c r="D17" s="2"/>
      <c r="E17" s="2"/>
      <c r="F17" s="2"/>
      <c r="G17" s="2"/>
      <c r="H17" s="2"/>
    </row>
    <row r="18" customFormat="false" ht="14.25" hidden="false" customHeight="true" outlineLevel="0" collapsed="false">
      <c r="A18" s="3" t="s">
        <v>300</v>
      </c>
      <c r="B18" s="3"/>
      <c r="C18" s="3"/>
      <c r="D18" s="3"/>
      <c r="E18" s="3"/>
      <c r="F18" s="3"/>
      <c r="G18" s="3"/>
      <c r="H18" s="3"/>
    </row>
    <row r="19" customFormat="false" ht="14.2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4.2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4.2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3" customFormat="false" ht="14.25" hidden="false" customHeight="false" outlineLevel="0" collapsed="false">
      <c r="A23" s="4" t="s">
        <v>277</v>
      </c>
      <c r="B23" s="4" t="s">
        <v>278</v>
      </c>
      <c r="C23" s="4" t="s">
        <v>279</v>
      </c>
      <c r="D23" s="4" t="s">
        <v>280</v>
      </c>
      <c r="E23" s="4" t="s">
        <v>281</v>
      </c>
    </row>
    <row r="24" customFormat="false" ht="14.25" hidden="false" customHeight="false" outlineLevel="0" collapsed="false">
      <c r="A24" s="6" t="s">
        <v>282</v>
      </c>
      <c r="B24" s="0" t="n">
        <v>4</v>
      </c>
      <c r="C24" s="0" t="n">
        <v>3.35</v>
      </c>
      <c r="D24" s="0" t="n">
        <v>3.7</v>
      </c>
      <c r="E24" s="6" t="s">
        <v>301</v>
      </c>
    </row>
    <row r="25" customFormat="false" ht="14.25" hidden="false" customHeight="false" outlineLevel="0" collapsed="false">
      <c r="A25" s="6" t="s">
        <v>302</v>
      </c>
      <c r="B25" s="0" t="n">
        <v>4.14</v>
      </c>
      <c r="C25" s="0" t="n">
        <v>3.44</v>
      </c>
      <c r="D25" s="0" t="n">
        <v>3.46</v>
      </c>
      <c r="E25" s="6" t="s">
        <v>303</v>
      </c>
    </row>
    <row r="26" customFormat="false" ht="14.25" hidden="false" customHeight="false" outlineLevel="0" collapsed="false">
      <c r="A26" s="6" t="s">
        <v>304</v>
      </c>
      <c r="B26" s="0" t="n">
        <v>4</v>
      </c>
      <c r="C26" s="0" t="n">
        <v>3.43</v>
      </c>
      <c r="D26" s="0" t="n">
        <v>3.61</v>
      </c>
      <c r="E26" s="6" t="s">
        <v>305</v>
      </c>
    </row>
    <row r="27" customFormat="false" ht="14.25" hidden="false" customHeight="false" outlineLevel="0" collapsed="false">
      <c r="A27" s="6" t="s">
        <v>284</v>
      </c>
      <c r="B27" s="0" t="n">
        <v>3.88</v>
      </c>
      <c r="C27" s="0" t="n">
        <v>3.19</v>
      </c>
      <c r="D27" s="0" t="n">
        <v>3.85</v>
      </c>
      <c r="E27" s="6" t="s">
        <v>306</v>
      </c>
    </row>
    <row r="28" customFormat="false" ht="14.25" hidden="false" customHeight="false" outlineLevel="0" collapsed="false">
      <c r="A28" s="6" t="s">
        <v>290</v>
      </c>
      <c r="B28" s="6" t="n">
        <v>3.88</v>
      </c>
      <c r="C28" s="6" t="n">
        <v>3.31</v>
      </c>
      <c r="D28" s="6" t="n">
        <v>3.85</v>
      </c>
      <c r="E28" s="6" t="s">
        <v>306</v>
      </c>
    </row>
  </sheetData>
  <mergeCells count="3">
    <mergeCell ref="A1:H1"/>
    <mergeCell ref="A17:H17"/>
    <mergeCell ref="A18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6"/>
    <col collapsed="false" customWidth="true" hidden="false" outlineLevel="0" max="8" min="7" style="0" width="34"/>
    <col collapsed="false" customWidth="true" hidden="false" outlineLevel="0" max="9" min="9" style="0" width="38"/>
    <col collapsed="false" customWidth="true" hidden="false" outlineLevel="0" max="10" min="10" style="0" width="28"/>
  </cols>
  <sheetData>
    <row r="1" customFormat="false" ht="19.5" hidden="false" customHeight="true" outlineLevel="0" collapsed="false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4.25" hidden="false" customHeight="false" outlineLevel="0" collapsed="false">
      <c r="A3" s="4" t="s">
        <v>308</v>
      </c>
      <c r="B3" s="4" t="s">
        <v>309</v>
      </c>
      <c r="C3" s="4" t="s">
        <v>310</v>
      </c>
      <c r="D3" s="4" t="s">
        <v>193</v>
      </c>
      <c r="E3" s="4" t="s">
        <v>24</v>
      </c>
      <c r="F3" s="4" t="s">
        <v>26</v>
      </c>
      <c r="G3" s="4" t="s">
        <v>311</v>
      </c>
      <c r="H3" s="4" t="s">
        <v>312</v>
      </c>
      <c r="I3" s="4" t="s">
        <v>195</v>
      </c>
      <c r="J3" s="4" t="s">
        <v>313</v>
      </c>
    </row>
    <row r="4" customFormat="false" ht="28.5" hidden="false" customHeight="true" outlineLevel="0" collapsed="false">
      <c r="A4" s="3" t="s">
        <v>314</v>
      </c>
      <c r="B4" s="3" t="s">
        <v>315</v>
      </c>
      <c r="C4" s="3" t="s">
        <v>316</v>
      </c>
      <c r="D4" s="3" t="s">
        <v>317</v>
      </c>
      <c r="E4" s="3" t="s">
        <v>318</v>
      </c>
      <c r="F4" s="3" t="s">
        <v>319</v>
      </c>
      <c r="G4" s="3" t="s">
        <v>320</v>
      </c>
      <c r="H4" s="3" t="s">
        <v>321</v>
      </c>
      <c r="I4" s="3" t="s">
        <v>322</v>
      </c>
      <c r="J4" s="3" t="s">
        <v>323</v>
      </c>
    </row>
    <row r="5" customFormat="false" ht="28.5" hidden="false" customHeight="true" outlineLevel="0" collapsed="false">
      <c r="A5" s="3" t="s">
        <v>324</v>
      </c>
      <c r="B5" s="3" t="s">
        <v>325</v>
      </c>
      <c r="C5" s="3" t="s">
        <v>326</v>
      </c>
      <c r="D5" s="3" t="s">
        <v>219</v>
      </c>
      <c r="E5" s="3" t="s">
        <v>327</v>
      </c>
      <c r="F5" s="3" t="s">
        <v>328</v>
      </c>
      <c r="G5" s="3" t="s">
        <v>329</v>
      </c>
      <c r="H5" s="3" t="s">
        <v>330</v>
      </c>
      <c r="I5" s="3" t="s">
        <v>331</v>
      </c>
      <c r="J5" s="3" t="s">
        <v>332</v>
      </c>
    </row>
    <row r="6" customFormat="false" ht="28.5" hidden="false" customHeight="true" outlineLevel="0" collapsed="false">
      <c r="A6" s="3" t="s">
        <v>333</v>
      </c>
      <c r="B6" s="3" t="s">
        <v>334</v>
      </c>
      <c r="C6" s="3" t="s">
        <v>335</v>
      </c>
      <c r="D6" s="3" t="s">
        <v>227</v>
      </c>
      <c r="E6" s="3" t="s">
        <v>336</v>
      </c>
      <c r="F6" s="3" t="s">
        <v>337</v>
      </c>
      <c r="G6" s="3" t="s">
        <v>338</v>
      </c>
      <c r="H6" s="3" t="s">
        <v>339</v>
      </c>
      <c r="I6" s="3" t="s">
        <v>340</v>
      </c>
      <c r="J6" s="3" t="s">
        <v>341</v>
      </c>
    </row>
    <row r="7" customFormat="false" ht="28.5" hidden="false" customHeight="true" outlineLevel="0" collapsed="false">
      <c r="A7" s="3" t="s">
        <v>342</v>
      </c>
      <c r="B7" s="3" t="s">
        <v>343</v>
      </c>
      <c r="C7" s="3" t="s">
        <v>344</v>
      </c>
      <c r="D7" s="3" t="s">
        <v>210</v>
      </c>
      <c r="E7" s="3" t="s">
        <v>345</v>
      </c>
      <c r="F7" s="3" t="s">
        <v>346</v>
      </c>
      <c r="G7" s="3" t="s">
        <v>347</v>
      </c>
      <c r="H7" s="3" t="s">
        <v>348</v>
      </c>
      <c r="I7" s="3" t="s">
        <v>349</v>
      </c>
      <c r="J7" s="3" t="s">
        <v>350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68"/>
  </cols>
  <sheetData>
    <row r="1" customFormat="false" ht="19.5" hidden="false" customHeight="true" outlineLevel="0" collapsed="false">
      <c r="A1" s="1" t="s">
        <v>351</v>
      </c>
      <c r="B1" s="1"/>
      <c r="C1" s="1"/>
      <c r="D1" s="1"/>
    </row>
    <row r="3" customFormat="false" ht="14.25" hidden="false" customHeight="false" outlineLevel="0" collapsed="false">
      <c r="A3" s="4" t="s">
        <v>352</v>
      </c>
      <c r="B3" s="4" t="s">
        <v>17</v>
      </c>
      <c r="C3" s="4" t="s">
        <v>353</v>
      </c>
      <c r="D3" s="4" t="s">
        <v>354</v>
      </c>
    </row>
    <row r="4" customFormat="false" ht="28.5" hidden="false" customHeight="true" outlineLevel="0" collapsed="false">
      <c r="A4" s="3" t="s">
        <v>355</v>
      </c>
      <c r="B4" s="3" t="s">
        <v>356</v>
      </c>
      <c r="C4" s="3" t="s">
        <v>357</v>
      </c>
      <c r="D4" s="3" t="s">
        <v>358</v>
      </c>
    </row>
    <row r="5" customFormat="false" ht="28.35" hidden="false" customHeight="false" outlineLevel="0" collapsed="false">
      <c r="A5" s="3" t="s">
        <v>359</v>
      </c>
      <c r="B5" s="3" t="s">
        <v>360</v>
      </c>
      <c r="C5" s="3" t="s">
        <v>361</v>
      </c>
      <c r="D5" s="3" t="s">
        <v>362</v>
      </c>
    </row>
    <row r="6" customFormat="false" ht="28.5" hidden="false" customHeight="true" outlineLevel="0" collapsed="false">
      <c r="A6" s="3" t="s">
        <v>363</v>
      </c>
      <c r="B6" s="3" t="s">
        <v>364</v>
      </c>
      <c r="C6" s="3" t="s">
        <v>365</v>
      </c>
      <c r="D6" s="3" t="s">
        <v>366</v>
      </c>
    </row>
    <row r="7" customFormat="false" ht="28.5" hidden="false" customHeight="true" outlineLevel="0" collapsed="false">
      <c r="A7" s="3" t="s">
        <v>367</v>
      </c>
      <c r="B7" s="3" t="s">
        <v>368</v>
      </c>
      <c r="C7" s="3" t="s">
        <v>369</v>
      </c>
      <c r="D7" s="3" t="s">
        <v>370</v>
      </c>
    </row>
    <row r="8" customFormat="false" ht="28.5" hidden="false" customHeight="true" outlineLevel="0" collapsed="false">
      <c r="A8" s="3" t="s">
        <v>371</v>
      </c>
      <c r="B8" s="3" t="s">
        <v>372</v>
      </c>
      <c r="C8" s="3" t="s">
        <v>373</v>
      </c>
      <c r="D8" s="3" t="s">
        <v>374</v>
      </c>
    </row>
    <row r="9" customFormat="false" ht="28.5" hidden="false" customHeight="true" outlineLevel="0" collapsed="false">
      <c r="A9" s="3" t="s">
        <v>375</v>
      </c>
      <c r="B9" s="3" t="s">
        <v>376</v>
      </c>
      <c r="C9" s="3" t="s">
        <v>377</v>
      </c>
      <c r="D9" s="3" t="s">
        <v>378</v>
      </c>
    </row>
    <row r="10" customFormat="false" ht="14.25" hidden="false" customHeight="false" outlineLevel="0" collapsed="false">
      <c r="A10" s="3" t="s">
        <v>379</v>
      </c>
      <c r="B10" s="3" t="s">
        <v>380</v>
      </c>
      <c r="C10" s="3" t="s">
        <v>381</v>
      </c>
      <c r="D10" s="3" t="s">
        <v>382</v>
      </c>
    </row>
    <row r="11" customFormat="false" ht="28.5" hidden="false" customHeight="true" outlineLevel="0" collapsed="false">
      <c r="A11" s="3" t="s">
        <v>383</v>
      </c>
      <c r="B11" s="3" t="s">
        <v>384</v>
      </c>
      <c r="C11" s="3" t="s">
        <v>385</v>
      </c>
      <c r="D11" s="3" t="s">
        <v>386</v>
      </c>
    </row>
    <row r="12" customFormat="false" ht="14.25" hidden="false" customHeight="false" outlineLevel="0" collapsed="false">
      <c r="A12" s="0" t="s">
        <v>387</v>
      </c>
      <c r="B12" s="0" t="s">
        <v>384</v>
      </c>
      <c r="C12" s="0" t="s">
        <v>388</v>
      </c>
      <c r="D12" s="0" t="s">
        <v>389</v>
      </c>
    </row>
    <row r="13" customFormat="false" ht="14.25" hidden="false" customHeight="false" outlineLevel="0" collapsed="false">
      <c r="A13" s="0" t="s">
        <v>390</v>
      </c>
      <c r="B13" s="0" t="s">
        <v>391</v>
      </c>
      <c r="C13" s="0" t="s">
        <v>392</v>
      </c>
      <c r="D13" s="0" t="s">
        <v>393</v>
      </c>
    </row>
    <row r="14" customFormat="false" ht="14.25" hidden="false" customHeight="false" outlineLevel="0" collapsed="false">
      <c r="A14" s="0" t="s">
        <v>394</v>
      </c>
      <c r="B14" s="0" t="s">
        <v>391</v>
      </c>
      <c r="C14" s="0" t="s">
        <v>395</v>
      </c>
      <c r="D14" s="0" t="s">
        <v>396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2026-09-28T04:03:07Z</dcterms:created>
  <dc:creator>openpyxl</dc:creator>
  <dc:description/>
  <dc:language>en-US</dc:language>
  <cp:lastModifiedBy>Miguel Angel Conde Celis</cp:lastModifiedBy>
  <dcterms:modified xsi:type="dcterms:W3CDTF">2026-09-28T04:03:07Z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